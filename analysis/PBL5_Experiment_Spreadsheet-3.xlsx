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onathansetiawan/Downloads/"/>
    </mc:Choice>
  </mc:AlternateContent>
  <xr:revisionPtr revIDLastSave="0" documentId="13_ncr:1_{E860D86B-D35D-E94F-9DE7-43D6C9C6CC9A}" xr6:coauthVersionLast="47" xr6:coauthVersionMax="47" xr10:uidLastSave="{00000000-0000-0000-0000-000000000000}"/>
  <bookViews>
    <workbookView xWindow="0" yWindow="600" windowWidth="28800" windowHeight="16180" tabRatio="500" xr2:uid="{00000000-000D-0000-FFFF-FFFF00000000}"/>
  </bookViews>
  <sheets>
    <sheet name="0_Instructions" sheetId="1" r:id="rId1"/>
    <sheet name="2_PreScreening" sheetId="3" r:id="rId2"/>
    <sheet name="3_BriefingScript" sheetId="4" r:id="rId3"/>
    <sheet name="4_PostConditionSurvey" sheetId="5" r:id="rId4"/>
    <sheet name="5_PostSessionSurvey" sheetId="6" r:id="rId5"/>
    <sheet name="6_SubjectTracking" sheetId="7" r:id="rId6"/>
    <sheet name="7_Counterbalancing" sheetId="8"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9" i="7" l="1"/>
  <c r="B28" i="7"/>
  <c r="B27" i="7"/>
  <c r="B26" i="7"/>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alcChain>
</file>

<file path=xl/sharedStrings.xml><?xml version="1.0" encoding="utf-8"?>
<sst xmlns="http://schemas.openxmlformats.org/spreadsheetml/2006/main" count="732" uniqueCount="217">
  <si>
    <t>PBL5 Foveated Teleoperation Experiment Spreadsheet</t>
  </si>
  <si>
    <t>Tracker for documenting the experiment results in a consistent, cross-referenced format.</t>
  </si>
  <si>
    <t>Every tab (except Briefing Script) is a table. One row = one subject (or one subject-condition</t>
  </si>
  <si>
    <t>combination for the Post-Condition Survey, 3 rows per subject).</t>
  </si>
  <si>
    <t>Subject IDs are now CANONICAL and consistent across every tab: the same ID always refers to the</t>
  </si>
  <si>
    <t>same person doing the same task. P01-P03 = researcher pilot/self-test data (Jonathan) — EXCLUDED</t>
  </si>
  <si>
    <t>from analysis per supervisor instruction, kept for reference only, tinted orange throughout.</t>
  </si>
  <si>
    <t>S01-S16 = real subjects, in chronological recruitment order.</t>
  </si>
  <si>
    <t>Tabs:</t>
  </si>
  <si>
    <t xml:space="preserve">  1_HardwareChecklist   -&gt; one row per session day. Fill before subjects arrive.</t>
  </si>
  <si>
    <t xml:space="preserve">  2_PreScreening        -&gt; one row per subject. Task column included.</t>
  </si>
  <si>
    <t xml:space="preserve">  3_BriefingScript      -&gt; reference only, read aloud verbatim. Not a table.</t>
  </si>
  <si>
    <t xml:space="preserve">  4_PostConditionSurvey -&gt; three rows per subject (one per condition). Fill right after each condition.</t>
  </si>
  <si>
    <t xml:space="preserve">  5_PostSessionSurvey   -&gt; one row per subject, filled once at the end.</t>
  </si>
  <si>
    <t xml:space="preserve">  6_SubjectTracking     -&gt; master log, one row per subject. 'Completed' auto-derives from TLX data presence.</t>
  </si>
  <si>
    <t xml:space="preserve">  7_Counterbalancing    -&gt; pre-assigned task + condition order lookup.</t>
  </si>
  <si>
    <t xml:space="preserve">  8_SessionRunSheet     -&gt; one row per subject, timestamps for each phase.</t>
  </si>
  <si>
    <t>Rows highlighted in light red/orange across tabs are FLAGGED — missing data that should be entered</t>
  </si>
  <si>
    <t>when available (see the flag note at the bottom of the relevant tab for specifics).</t>
  </si>
  <si>
    <t>Study Parameters</t>
  </si>
  <si>
    <t>- Conditions: Uniform (Q50) / Foveated (fovea Q85, periph Q15) / Inverse-Foveated (fovea ~Q10, periph ~Q50)</t>
  </si>
  <si>
    <t>- Tasks: Navigation / Identification / Visual Search — 1 assigned per subject (between-subjects on task)</t>
  </si>
  <si>
    <t>- Note: S05-S07 (Dennis), S08-S10 (Wonil), S13-S15 (Brandon) each did ALL THREE tasks — a deviation from</t>
  </si>
  <si>
    <t>-   strict between-subjects design worth noting in the methods write-up.</t>
  </si>
  <si>
    <t>- Trials per subject: 3 (1 round per condition, on their assigned task)</t>
  </si>
  <si>
    <t>- Target N: 18 minimum (multiples of 3 for Latin-square balance), 24 preferred</t>
  </si>
  <si>
    <t>- Session length target: 30-60 minutes</t>
  </si>
  <si>
    <t>- Collision definition: single physical contact = 1 collision; continuous scraping = 1 event until contact breaks</t>
  </si>
  <si>
    <t>Date</t>
  </si>
  <si>
    <t>Notes</t>
  </si>
  <si>
    <t>Yes</t>
  </si>
  <si>
    <t>Pre-Screening — One Row Per Subject (canonical ID, matches all other tabs)</t>
  </si>
  <si>
    <t>Fill before consent. Task column added so future entries don't need cross-tab inference. Pilot rows (P01-P03, researcher self-test) are excluded from analysis per supervisor instruction — kept for reference, tinted orange.</t>
  </si>
  <si>
    <t>Subject ID</t>
  </si>
  <si>
    <t>Task</t>
  </si>
  <si>
    <t>Age</t>
  </si>
  <si>
    <t>VR experience</t>
  </si>
  <si>
    <t>Corrective lenses</t>
  </si>
  <si>
    <t>Willing to remove glasses?</t>
  </si>
  <si>
    <t>Motion sickness history?</t>
  </si>
  <si>
    <t>Currently well?</t>
  </si>
  <si>
    <t>Driving Experience (1-7)</t>
  </si>
  <si>
    <t>Eligible?</t>
  </si>
  <si>
    <t>P01-Jonathan</t>
  </si>
  <si>
    <t>Navigation</t>
  </si>
  <si>
    <t>Occasionally</t>
  </si>
  <si>
    <t>Glasses</t>
  </si>
  <si>
    <t>No</t>
  </si>
  <si>
    <t>Eligible</t>
  </si>
  <si>
    <t>P02-Jonathan</t>
  </si>
  <si>
    <t>Identification</t>
  </si>
  <si>
    <t>P03-Jonathan</t>
  </si>
  <si>
    <t>Visual Search</t>
  </si>
  <si>
    <t>S01-Kaung</t>
  </si>
  <si>
    <t>Once or twice</t>
  </si>
  <si>
    <t>Glasses around -3.5 R and 2.75L</t>
  </si>
  <si>
    <t>Kind of</t>
  </si>
  <si>
    <t>S02-Ding</t>
  </si>
  <si>
    <t>Glasses -2.5 for both</t>
  </si>
  <si>
    <t>VR sickness</t>
  </si>
  <si>
    <t>S03-Bharat</t>
  </si>
  <si>
    <t>Regularly</t>
  </si>
  <si>
    <t>Glasses far sightedness cylinder 2.25 for both eyes</t>
  </si>
  <si>
    <t>Kind of, VR, car a bit</t>
  </si>
  <si>
    <t>S04-Sakura</t>
  </si>
  <si>
    <t>Never</t>
  </si>
  <si>
    <t>Contact lenses, -4L &amp; -4R</t>
  </si>
  <si>
    <t>S05-Dennis</t>
  </si>
  <si>
    <t>No correction</t>
  </si>
  <si>
    <t>car sickness if passenger</t>
  </si>
  <si>
    <t>S06-Dennis</t>
  </si>
  <si>
    <t>S07-Dennis</t>
  </si>
  <si>
    <t>S08-Wonil</t>
  </si>
  <si>
    <t>Glasses -5 to -6 for both</t>
  </si>
  <si>
    <t>S09-Wonil</t>
  </si>
  <si>
    <t>Glases -5 to -6 for both</t>
  </si>
  <si>
    <t>S10-Wonil</t>
  </si>
  <si>
    <t>S11-Tomy</t>
  </si>
  <si>
    <t>S12-Sandeep</t>
  </si>
  <si>
    <t>Glasses -4.5L and R</t>
  </si>
  <si>
    <t>S13-Brandon</t>
  </si>
  <si>
    <t>Glasses around -6L and R</t>
  </si>
  <si>
    <t>Car sickness</t>
  </si>
  <si>
    <t>S14-Brandon</t>
  </si>
  <si>
    <t>S15-Brandon</t>
  </si>
  <si>
    <t>S16-Michael</t>
  </si>
  <si>
    <t>Glasses around -8L and R</t>
  </si>
  <si>
    <t>game sickness from motion blur and games such as point blank but CS is okay, certain filter like anti-aliasing make the movement seem unnatural</t>
  </si>
  <si>
    <t>Standardized Briefing Script — Read VERBATIM to Every Subject</t>
  </si>
  <si>
    <t>Reference only — not a data table. Do not paraphrase. Same words every session.</t>
  </si>
  <si>
    <t xml:space="preserve">Thank you for participating in this study.
You will wear a VR headset displaying a robot's camera view. You will perform three different tasks using the VR controllers and, for driving, the steering wheel and pedals in front of you.
The three tasks are:
- Navigation — drive the robot along a route through the lab and back.
- Identification — drive the robot to a sign and read aloud the text or symbols shown.
- Visual Search — drive the robot around the lab to locate a specific target object.
You will perform your assigned task under three different visual conditions, one after another. I will not tell you what the conditions are until after the session — please just focus on completing the task as quickly and accurately as you can.
Before each condition, I will set up the system. When a trial starts, this will be signaled on your HUD. Use the right thumbstick or the steering wheel and pedals to drive. Squeeze the right grip trigger to brake. The trial ends automatically when you complete the task, or I will end it manually if needed.
If a trial takes unusually long, I will end it manually and we will continue so this is not a failure on your part.
If at any point you feel dizzy, uncomfortable, or want to take a break, please tell me immediately. You can stop the entire session at any time, for any reason.
After each condition, I'll ask you a few short questions about how it felt. After all three conditions are complete, you'll fill out one final survey.
The total session takes about 30 minutes. Do you have any questions before we begin?
</t>
  </si>
  <si>
    <t>Post-Condition Survey — 3 Rows Per Subject (one per condition), canonical order</t>
  </si>
  <si>
    <t>Fill right after each condition block. Condition letter per tab 7_Counterbalancing. TLX subscales are 0-100 (steps of 5). RTLX auto-computes when all six are filled. Column E preserves the original 1-7 pilot mental-demand scale for the 3 pilot rows only — leave blank for real subjects.</t>
  </si>
  <si>
    <t>Condition Letter</t>
  </si>
  <si>
    <t>No. of trials</t>
  </si>
  <si>
    <t>Mental Demand (pilot-only 1-7 scale)</t>
  </si>
  <si>
    <t>TLX Mental Demand (0-100)</t>
  </si>
  <si>
    <t>TLX Physical Demand (0-100)</t>
  </si>
  <si>
    <t>TLX Temporal Demand (0-100)</t>
  </si>
  <si>
    <t>TLX Performance (0-100)</t>
  </si>
  <si>
    <t>TLX Effort (0-100)</t>
  </si>
  <si>
    <t>TLX Frustration (0-100)</t>
  </si>
  <si>
    <t>RTLX (auto avg)</t>
  </si>
  <si>
    <t>Visual Quality (1-7)</t>
  </si>
  <si>
    <t>Perceived Speed (1-7)</t>
  </si>
  <si>
    <t>Actual Avg Speed (telemetry)</t>
  </si>
  <si>
    <t>Notes (optional)</t>
  </si>
  <si>
    <t>A</t>
  </si>
  <si>
    <t>B</t>
  </si>
  <si>
    <t>C</t>
  </si>
  <si>
    <t>Could read the 4th line anything else no</t>
  </si>
  <si>
    <t>Could read the 5th line everything else no</t>
  </si>
  <si>
    <t>Could read the 3rd line everything else no</t>
  </si>
  <si>
    <t>3 collisions</t>
  </si>
  <si>
    <t>1 collision different from human vision, slow asf, cannot see anything cannot move camera around cannot look around when he hits an object he can't see what he's seeing, after 2 trials some degree of motion sickness</t>
  </si>
  <si>
    <t>2 collisions, the visual range on the robot is different from what we normally see as a human</t>
  </si>
  <si>
    <t>KT3PJ4CKDsomethingXNcannot read anything forward</t>
  </si>
  <si>
    <t>DWM3YPFK9JW34RYDQ3Y3GWJ6K7XR6QF2somethignsomethingWQthats it</t>
  </si>
  <si>
    <t>GTAKV99CEF3GIXKAGBRTQKJWJthats it</t>
  </si>
  <si>
    <t>21 collisions and 3 misclassifications</t>
  </si>
  <si>
    <t>8 collisions and 3 misclassifications</t>
  </si>
  <si>
    <t>4 collisions and 2 misclassifications</t>
  </si>
  <si>
    <t>1 collision</t>
  </si>
  <si>
    <t>2 collisions</t>
  </si>
  <si>
    <t>0 collisions</t>
  </si>
  <si>
    <t>GTAKV99CEF3GTXKAGRTQK3WJ</t>
  </si>
  <si>
    <t>DWM3YPFK9JW34RYDQ3Y3GWJ6K7XREQF3EAWOF</t>
  </si>
  <si>
    <t>YTVKWADQEP4YNKFH9EKT3PQ4QKOHKHFHFPQN</t>
  </si>
  <si>
    <t xml:space="preserve">9 collisions, 50 for temporal demand because racing against the naeusea </t>
  </si>
  <si>
    <t>4 collisions, one thing is it's very hard to look at what is straight in front of the robot below the field of view for the robot</t>
  </si>
  <si>
    <t xml:space="preserve">2 collisions </t>
  </si>
  <si>
    <t>7 collisions</t>
  </si>
  <si>
    <t xml:space="preserve">4 collisions </t>
  </si>
  <si>
    <t>DWM3YPFK9JW34RYDQ3Y3QWJ6 the rest cannot read</t>
  </si>
  <si>
    <t>GTAKV99CEF3Gcannotread first XKAGR the rest cannot read</t>
  </si>
  <si>
    <t>YTVKWADQET4YNKFH9EKT3PQ4 the rest cannot read</t>
  </si>
  <si>
    <t>4 collisions</t>
  </si>
  <si>
    <t>6 collisions, 1 misclassification</t>
  </si>
  <si>
    <t>4 collisions, really naeseous and dizzy</t>
  </si>
  <si>
    <t>GTAKV99CEF3G3XK can wait for the blur to go away and see from peripheral</t>
  </si>
  <si>
    <t>BWM3YPFK9JW34RYDQ3Y3GWJ6K7XR6Q</t>
  </si>
  <si>
    <t>YTVKWADQEP4YNKFH9EKT2PG4</t>
  </si>
  <si>
    <t>7 collisions, physical demand because he needs to move the eyeballs</t>
  </si>
  <si>
    <t>5 collisions</t>
  </si>
  <si>
    <t>6 collisions</t>
  </si>
  <si>
    <t>DWM3YPFK9JW34RYDQ3Y3GWGBK7XRDQFTEEWO</t>
  </si>
  <si>
    <t>GTAKV99CEF3GTXKAGH</t>
  </si>
  <si>
    <t>YTVKWADOEP4YNKFH9EKJ3PG4QK0HXM</t>
  </si>
  <si>
    <t>4 misclassifications</t>
  </si>
  <si>
    <t>felt nauseous, felt increasing urgency because of nausea</t>
  </si>
  <si>
    <t>NASA-TLX subscale definitions (read to subject or paraphrase consistently)</t>
  </si>
  <si>
    <t>Mental Demand</t>
  </si>
  <si>
    <t>How mentally demanding was the task? (thinking, deciding, looking, searching)  0 = very low, 100 = very high</t>
  </si>
  <si>
    <t>Physical Demand</t>
  </si>
  <si>
    <t>How physically demanding was the task? (steering, head movement, effort of controls)  0 = very low, 100 = very high</t>
  </si>
  <si>
    <t>Temporal Demand</t>
  </si>
  <si>
    <t>How hurried or rushed was the pace of the task?  0 = very low, 100 = very high</t>
  </si>
  <si>
    <t>Performance</t>
  </si>
  <si>
    <t>How successful were you at accomplishing what you were asked to do?  NOTE ANCHORS: 0 = perfect, 100 = failure (reverse-worded — low is good)</t>
  </si>
  <si>
    <t>Effort</t>
  </si>
  <si>
    <t>How hard did you have to work to accomplish your level of performance?  0 = very low, 100 = very high</t>
  </si>
  <si>
    <t>Frustration</t>
  </si>
  <si>
    <t>How insecure, discouraged, irritated, stressed, or annoyed were you?  0 = very low, 100 = very high</t>
  </si>
  <si>
    <t>⚠ IMPORTANT: 'Performance' is reverse-anchored (0 = perfect, 100 = failure). RTLX averages raw values as entered — this is the standard raw-TLX convention.</t>
  </si>
  <si>
    <t>Post-Session Survey — One Row Per Subject, canonical order</t>
  </si>
  <si>
    <t>Fill once at the very end. Ranks: 1 = most preferred, 3 = least preferred. Rows with no post-session data yet are flagged.</t>
  </si>
  <si>
    <t>Rank: Condition A</t>
  </si>
  <si>
    <t>Rank: Condition B</t>
  </si>
  <si>
    <t>Rank: Condition C</t>
  </si>
  <si>
    <t>Noted differences across conditions</t>
  </si>
  <si>
    <t>Other comments</t>
  </si>
  <si>
    <t>Debrief done?</t>
  </si>
  <si>
    <t>first and second barely anything noticed about the visuals, for third condition the yellow sign can't even be seen and looks a bit too pixelated</t>
  </si>
  <si>
    <t>I feel like with human eyes the focus point rendering is done manually so by doing through a filter it feels kind of odd, the third one is just blurry</t>
  </si>
  <si>
    <t>maybe not put all the charts in one go</t>
  </si>
  <si>
    <t>C is difficult to drive, distance becomes hard to judge and hard to drive</t>
  </si>
  <si>
    <t>the 2nd condition guards from VR sickness, first is just frustrating, third one if I wanted to focus on something I can't see it</t>
  </si>
  <si>
    <t>the reason the last one worked best was because he searched in peripheral and central vision so it's best of both worlds</t>
  </si>
  <si>
    <t>He liked driving the rover but he didn't know why the inverted foveated condition was even there it was hard to drive around</t>
  </si>
  <si>
    <t>The course and even the obstacles was "pretty easy"</t>
  </si>
  <si>
    <t>the B condition can't pay attention to surrounding just driving forward, the C you focus on the surroundings more</t>
  </si>
  <si>
    <t>thinks condition A is just overall blurry</t>
  </si>
  <si>
    <t>it was annoying that I can't look at objects directly in front of the robot or out of the fov of the robot, or rotate the camera so a 360 deg camera would be better or maybe make it dizzier</t>
  </si>
  <si>
    <t>Subject Tracking — Master Log, canonical order</t>
  </si>
  <si>
    <t>Source of truth for who's done and where their data lives. Cross-reference by Subject ID (matches all other tabs now). 'Completed' auto-derived from presence of TLX data in PostConditionSurvey.</t>
  </si>
  <si>
    <t>Time</t>
  </si>
  <si>
    <t>Rotation Group</t>
  </si>
  <si>
    <t>Condition Order (as run)</t>
  </si>
  <si>
    <t>Chosen or Assigned?</t>
  </si>
  <si>
    <t>Pre-screen done?</t>
  </si>
  <si>
    <t>Consent signed?</t>
  </si>
  <si>
    <t>Completed?</t>
  </si>
  <si>
    <t>CSV Filename</t>
  </si>
  <si>
    <t>ABC</t>
  </si>
  <si>
    <t>N/A (pilot)</t>
  </si>
  <si>
    <t>CBA</t>
  </si>
  <si>
    <t>BCA</t>
  </si>
  <si>
    <t>Summary (auto-updating)</t>
  </si>
  <si>
    <t>Total real subjects completed</t>
  </si>
  <si>
    <t>Navigation completed</t>
  </si>
  <si>
    <t>Identification completed</t>
  </si>
  <si>
    <t>Visual Search completed</t>
  </si>
  <si>
    <t>Task Rotation + Condition Order — Pre-Assigned Lookup</t>
  </si>
  <si>
    <t>Look up by recruitment order # before each session. Only deviate if subject strongly prefers a task; log as 'Chosen' in tab 6.</t>
  </si>
  <si>
    <t>Recruitment Order #</t>
  </si>
  <si>
    <t>Task (rotation)</t>
  </si>
  <si>
    <t>Condition Order ID</t>
  </si>
  <si>
    <t>Ordering Sequence</t>
  </si>
  <si>
    <t>1</t>
  </si>
  <si>
    <t>Uniform -&gt; Foveated -&gt; Inverse-Foveated</t>
  </si>
  <si>
    <t>2</t>
  </si>
  <si>
    <t>Uniform -&gt; Inverse-Foveated -&gt; Foveated</t>
  </si>
  <si>
    <t>3</t>
  </si>
  <si>
    <t>Foveated -&gt; Inverse-Foveated -&gt; Uniform</t>
  </si>
  <si>
    <t>felt sick afterwards and couldn't continue</t>
  </si>
  <si>
    <t>Chosen</t>
  </si>
  <si>
    <t>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</si>
</sst>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4" x14ac:knownFonts="1">
    <font>
      <sz val="11"/>
      <color theme="1"/>
      <name val="Calibri"/>
      <family val="2"/>
      <charset val="1"/>
    </font>
    <font>
      <b/>
      <sz val="14"/>
      <color rgb="FFFFFFFF"/>
      <name val="Arial"/>
      <family val="2"/>
    </font>
    <font>
      <sz val="10"/>
      <name val="Arial"/>
      <family val="2"/>
    </font>
    <font>
      <b/>
      <sz val="11"/>
      <name val="Arial"/>
      <family val="2"/>
    </font>
    <font>
      <b/>
      <sz val="14"/>
      <color rgb="FFFFFFFF"/>
      <name val="Arial"/>
      <family val="2"/>
      <charset val="1"/>
    </font>
    <font>
      <i/>
      <sz val="9"/>
      <color rgb="FF595959"/>
      <name val="Arial"/>
      <family val="2"/>
      <charset val="1"/>
    </font>
    <font>
      <b/>
      <sz val="10"/>
      <color rgb="FFFFFFFF"/>
      <name val="Arial"/>
      <family val="2"/>
      <charset val="1"/>
    </font>
    <font>
      <i/>
      <sz val="9"/>
      <color rgb="FF595959"/>
      <name val="Arial"/>
      <family val="2"/>
    </font>
    <font>
      <b/>
      <sz val="10"/>
      <color rgb="FFFFFFFF"/>
      <name val="Arial"/>
      <family val="2"/>
    </font>
    <font>
      <b/>
      <i/>
      <sz val="11"/>
      <color rgb="FFC00000"/>
      <name val="Arial"/>
      <family val="2"/>
      <charset val="1"/>
    </font>
    <font>
      <sz val="11"/>
      <name val="Arial"/>
      <family val="2"/>
      <charset val="1"/>
    </font>
    <font>
      <b/>
      <sz val="9"/>
      <name val="Arial"/>
      <family val="2"/>
    </font>
    <font>
      <sz val="9"/>
      <name val="Arial"/>
      <family val="2"/>
    </font>
    <font>
      <i/>
      <sz val="9"/>
      <color rgb="FFC00000"/>
      <name val="Arial"/>
      <family val="2"/>
    </font>
  </fonts>
  <fills count="8">
    <fill>
      <patternFill patternType="none"/>
    </fill>
    <fill>
      <patternFill patternType="gray125"/>
    </fill>
    <fill>
      <patternFill patternType="solid">
        <fgColor rgb="FF1F4E78"/>
        <bgColor rgb="FF2E5C8A"/>
      </patternFill>
    </fill>
    <fill>
      <patternFill patternType="solid">
        <fgColor rgb="FFD9E2F3"/>
        <bgColor rgb="FFF2F6FC"/>
      </patternFill>
    </fill>
    <fill>
      <patternFill patternType="solid">
        <fgColor rgb="FF2E5C8A"/>
        <bgColor rgb="FF1F4E78"/>
      </patternFill>
    </fill>
    <fill>
      <patternFill patternType="solid">
        <fgColor rgb="FFF2F6FC"/>
        <bgColor rgb="FFFFFFFF"/>
      </patternFill>
    </fill>
    <fill>
      <patternFill patternType="solid">
        <fgColor rgb="FFFFF3E0"/>
        <bgColor rgb="FFF2F6FC"/>
      </patternFill>
    </fill>
    <fill>
      <patternFill patternType="solid">
        <fgColor rgb="FF1F6F54"/>
        <bgColor rgb="FF2E5C8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0" fillId="0" borderId="0" xfId="0"/>
    <xf numFmtId="0" fontId="13" fillId="0" borderId="0" xfId="0" applyFont="1" applyAlignment="1">
      <alignment vertical="top" wrapText="1"/>
    </xf>
    <xf numFmtId="0" fontId="12" fillId="0" borderId="0" xfId="0" applyFont="1" applyAlignment="1">
      <alignment vertical="top" wrapText="1"/>
    </xf>
    <xf numFmtId="0" fontId="11" fillId="0" borderId="0" xfId="0" applyFont="1"/>
    <xf numFmtId="0" fontId="5" fillId="0" borderId="0" xfId="0" applyFont="1" applyAlignment="1">
      <alignment horizontal="left" vertical="top" wrapText="1"/>
    </xf>
    <xf numFmtId="0" fontId="4" fillId="2" borderId="0" xfId="0" applyFont="1" applyFill="1" applyAlignment="1">
      <alignment horizontal="left" vertical="center" indent="1"/>
    </xf>
    <xf numFmtId="0" fontId="3" fillId="3" borderId="0" xfId="0" applyFont="1" applyFill="1"/>
    <xf numFmtId="0" fontId="7" fillId="0" borderId="0" xfId="0" applyFont="1" applyAlignment="1">
      <alignment vertical="top" wrapText="1"/>
    </xf>
    <xf numFmtId="0" fontId="1" fillId="2" borderId="0" xfId="0" applyFont="1" applyFill="1" applyAlignment="1">
      <alignment horizontal="left" vertical="center" indent="1"/>
    </xf>
    <xf numFmtId="0" fontId="1" fillId="2" borderId="0" xfId="0" applyFont="1" applyFill="1" applyAlignment="1">
      <alignment horizontal="left" vertical="center" indent="1"/>
    </xf>
    <xf numFmtId="0" fontId="2" fillId="0" borderId="0" xfId="0" applyFont="1"/>
    <xf numFmtId="0" fontId="6" fillId="4" borderId="1" xfId="0" applyFont="1" applyFill="1" applyBorder="1" applyAlignment="1">
      <alignment horizontal="center" vertical="center" wrapText="1"/>
    </xf>
    <xf numFmtId="0" fontId="0" fillId="0" borderId="1" xfId="0" applyBorder="1"/>
    <xf numFmtId="0" fontId="0" fillId="5" borderId="1" xfId="0" applyFill="1" applyBorder="1"/>
    <xf numFmtId="0" fontId="7" fillId="0" borderId="0" xfId="0" applyFont="1" applyAlignment="1">
      <alignment vertical="top" wrapText="1"/>
    </xf>
    <xf numFmtId="0" fontId="8" fillId="4" borderId="1" xfId="0" applyFont="1" applyFill="1" applyBorder="1" applyAlignment="1">
      <alignment horizontal="center" vertical="center" wrapText="1"/>
    </xf>
    <xf numFmtId="0" fontId="0" fillId="6" borderId="1" xfId="0" applyFill="1" applyBorder="1"/>
    <xf numFmtId="165" fontId="0" fillId="6" borderId="1" xfId="0" applyNumberFormat="1" applyFill="1" applyBorder="1"/>
    <xf numFmtId="165" fontId="0" fillId="5" borderId="1" xfId="0" applyNumberFormat="1" applyFill="1" applyBorder="1"/>
    <xf numFmtId="165" fontId="0" fillId="0" borderId="1" xfId="0" applyNumberFormat="1" applyBorder="1"/>
    <xf numFmtId="0" fontId="9" fillId="0" borderId="0" xfId="0" applyFont="1"/>
    <xf numFmtId="0" fontId="10" fillId="0" borderId="0" xfId="0" applyFont="1" applyAlignment="1">
      <alignment vertical="top" wrapText="1"/>
    </xf>
    <xf numFmtId="0" fontId="8" fillId="7" borderId="1" xfId="0" applyFont="1" applyFill="1" applyBorder="1" applyAlignment="1">
      <alignment horizontal="center" vertical="center" wrapText="1"/>
    </xf>
    <xf numFmtId="0" fontId="3" fillId="0" borderId="0" xfId="0" applyFont="1"/>
    <xf numFmtId="0" fontId="0" fillId="0" borderId="1" xfId="0" applyBorder="1" applyAlignment="1">
      <alignment horizontal="center" wrapText="1"/>
    </xf>
    <xf numFmtId="0" fontId="0" fillId="0" borderId="1" xfId="0" applyBorder="1" applyAlignment="1">
      <alignment horizontal="left" wrapText="1"/>
    </xf>
    <xf numFmtId="0" fontId="0" fillId="5" borderId="1" xfId="0" applyFill="1" applyBorder="1" applyAlignment="1">
      <alignment horizontal="center" wrapText="1"/>
    </xf>
    <xf numFmtId="0" fontId="0" fillId="5" borderId="1" xfId="0" applyFill="1" applyBorder="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6F54"/>
      <rgbColor rgb="FFBFBFBF"/>
      <rgbColor rgb="FF808080"/>
      <rgbColor rgb="FF9999FF"/>
      <rgbColor rgb="FF993366"/>
      <rgbColor rgb="FFFFF3E0"/>
      <rgbColor rgb="FFF2F6FC"/>
      <rgbColor rgb="FF660066"/>
      <rgbColor rgb="FFFF8080"/>
      <rgbColor rgb="FF2E5C8A"/>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zoomScale="113" zoomScaleNormal="113" workbookViewId="0">
      <selection activeCell="A8" sqref="A8"/>
    </sheetView>
  </sheetViews>
  <sheetFormatPr baseColWidth="10" defaultColWidth="8.6640625" defaultRowHeight="15" x14ac:dyDescent="0.2"/>
  <cols>
    <col min="1" max="1" width="105" customWidth="1"/>
  </cols>
  <sheetData>
    <row r="1" spans="1:6" ht="24" customHeight="1" x14ac:dyDescent="0.2">
      <c r="A1" s="9" t="s">
        <v>0</v>
      </c>
      <c r="B1" s="9"/>
      <c r="C1" s="9"/>
      <c r="D1" s="9"/>
      <c r="E1" s="9"/>
      <c r="F1" s="9"/>
    </row>
    <row r="3" spans="1:6" ht="15" customHeight="1" x14ac:dyDescent="0.2">
      <c r="A3" s="11" t="s">
        <v>1</v>
      </c>
    </row>
    <row r="4" spans="1:6" ht="15" customHeight="1" x14ac:dyDescent="0.2"/>
    <row r="5" spans="1:6" ht="15" customHeight="1" x14ac:dyDescent="0.2">
      <c r="A5" s="11" t="s">
        <v>2</v>
      </c>
    </row>
    <row r="6" spans="1:6" ht="15" customHeight="1" x14ac:dyDescent="0.2">
      <c r="A6" s="11" t="s">
        <v>3</v>
      </c>
    </row>
    <row r="7" spans="1:6" ht="15" customHeight="1" x14ac:dyDescent="0.2"/>
    <row r="8" spans="1:6" ht="15" customHeight="1" x14ac:dyDescent="0.2">
      <c r="A8" s="11" t="s">
        <v>4</v>
      </c>
    </row>
    <row r="9" spans="1:6" ht="15" customHeight="1" x14ac:dyDescent="0.2">
      <c r="A9" s="11" t="s">
        <v>5</v>
      </c>
    </row>
    <row r="10" spans="1:6" ht="15" customHeight="1" x14ac:dyDescent="0.2">
      <c r="A10" s="11" t="s">
        <v>6</v>
      </c>
    </row>
    <row r="11" spans="1:6" ht="15" customHeight="1" x14ac:dyDescent="0.2">
      <c r="A11" s="11" t="s">
        <v>7</v>
      </c>
    </row>
    <row r="12" spans="1:6" ht="15" customHeight="1" x14ac:dyDescent="0.2"/>
    <row r="13" spans="1:6" ht="15" customHeight="1" x14ac:dyDescent="0.2">
      <c r="A13" s="11" t="s">
        <v>8</v>
      </c>
    </row>
    <row r="14" spans="1:6" ht="15" customHeight="1" x14ac:dyDescent="0.2">
      <c r="A14" s="11" t="s">
        <v>9</v>
      </c>
    </row>
    <row r="15" spans="1:6" ht="15" customHeight="1" x14ac:dyDescent="0.2">
      <c r="A15" s="11" t="s">
        <v>10</v>
      </c>
    </row>
    <row r="16" spans="1:6" ht="15" customHeight="1" x14ac:dyDescent="0.2">
      <c r="A16" s="11" t="s">
        <v>11</v>
      </c>
    </row>
    <row r="17" spans="1:6" ht="15" customHeight="1" x14ac:dyDescent="0.2">
      <c r="A17" s="11" t="s">
        <v>12</v>
      </c>
    </row>
    <row r="18" spans="1:6" ht="15" customHeight="1" x14ac:dyDescent="0.2">
      <c r="A18" s="11" t="s">
        <v>13</v>
      </c>
    </row>
    <row r="19" spans="1:6" ht="15" customHeight="1" x14ac:dyDescent="0.2">
      <c r="A19" s="11" t="s">
        <v>14</v>
      </c>
    </row>
    <row r="20" spans="1:6" ht="15" customHeight="1" x14ac:dyDescent="0.2">
      <c r="A20" s="11" t="s">
        <v>15</v>
      </c>
    </row>
    <row r="21" spans="1:6" ht="15" customHeight="1" x14ac:dyDescent="0.2">
      <c r="A21" s="11" t="s">
        <v>16</v>
      </c>
    </row>
    <row r="22" spans="1:6" ht="15" customHeight="1" x14ac:dyDescent="0.2"/>
    <row r="23" spans="1:6" ht="15" customHeight="1" x14ac:dyDescent="0.2">
      <c r="A23" s="11" t="s">
        <v>17</v>
      </c>
    </row>
    <row r="24" spans="1:6" ht="15" customHeight="1" x14ac:dyDescent="0.2">
      <c r="A24" s="11" t="s">
        <v>18</v>
      </c>
    </row>
    <row r="25" spans="1:6" ht="15" customHeight="1" x14ac:dyDescent="0.2"/>
    <row r="26" spans="1:6" ht="15" customHeight="1" x14ac:dyDescent="0.2">
      <c r="A26" s="7" t="s">
        <v>19</v>
      </c>
      <c r="B26" s="7"/>
      <c r="C26" s="7"/>
      <c r="D26" s="7"/>
      <c r="E26" s="7"/>
      <c r="F26" s="7"/>
    </row>
    <row r="27" spans="1:6" ht="15" customHeight="1" x14ac:dyDescent="0.2">
      <c r="A27" s="11" t="s">
        <v>20</v>
      </c>
    </row>
    <row r="28" spans="1:6" ht="15" customHeight="1" x14ac:dyDescent="0.2">
      <c r="A28" s="11" t="s">
        <v>21</v>
      </c>
    </row>
    <row r="29" spans="1:6" ht="15" customHeight="1" x14ac:dyDescent="0.2">
      <c r="A29" s="11" t="s">
        <v>22</v>
      </c>
    </row>
    <row r="30" spans="1:6" ht="15" customHeight="1" x14ac:dyDescent="0.2">
      <c r="A30" s="11" t="s">
        <v>23</v>
      </c>
    </row>
    <row r="31" spans="1:6" ht="15" customHeight="1" x14ac:dyDescent="0.2">
      <c r="A31" s="11" t="s">
        <v>24</v>
      </c>
    </row>
    <row r="32" spans="1:6" ht="15" customHeight="1" x14ac:dyDescent="0.2">
      <c r="A32" s="11" t="s">
        <v>25</v>
      </c>
    </row>
    <row r="33" spans="1:1" ht="15" customHeight="1" x14ac:dyDescent="0.2">
      <c r="A33" s="11" t="s">
        <v>26</v>
      </c>
    </row>
    <row r="34" spans="1:1" ht="15" customHeight="1" x14ac:dyDescent="0.2">
      <c r="A34" s="11" t="s">
        <v>27</v>
      </c>
    </row>
  </sheetData>
  <mergeCells count="2">
    <mergeCell ref="A1:F1"/>
    <mergeCell ref="A26:F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zoomScaleNormal="100" workbookViewId="0">
      <pane ySplit="4" topLeftCell="A5" activePane="bottomLeft" state="frozen"/>
      <selection pane="bottomLeft" activeCell="J10" sqref="J10"/>
    </sheetView>
  </sheetViews>
  <sheetFormatPr baseColWidth="10" defaultColWidth="8.6640625" defaultRowHeight="15" x14ac:dyDescent="0.2"/>
  <cols>
    <col min="1" max="3" width="11" customWidth="1"/>
    <col min="4" max="4" width="7" customWidth="1"/>
    <col min="5" max="5" width="15" customWidth="1"/>
    <col min="6" max="7" width="28" customWidth="1"/>
    <col min="8" max="8" width="26" customWidth="1"/>
    <col min="9" max="9" width="12" customWidth="1"/>
    <col min="10" max="10" width="14.5" bestFit="1" customWidth="1"/>
    <col min="11" max="11" width="11" customWidth="1"/>
  </cols>
  <sheetData>
    <row r="1" spans="1:11" ht="24" customHeight="1" x14ac:dyDescent="0.2">
      <c r="A1" s="9" t="s">
        <v>31</v>
      </c>
      <c r="B1" s="9"/>
      <c r="C1" s="9"/>
      <c r="D1" s="9"/>
      <c r="E1" s="9"/>
      <c r="F1" s="9"/>
      <c r="G1" s="9"/>
      <c r="H1" s="9"/>
      <c r="I1" s="9"/>
      <c r="J1" s="9"/>
      <c r="K1" s="9"/>
    </row>
    <row r="2" spans="1:11" ht="30" customHeight="1" x14ac:dyDescent="0.2">
      <c r="A2" s="8" t="s">
        <v>32</v>
      </c>
      <c r="B2" s="8"/>
      <c r="C2" s="8"/>
      <c r="D2" s="8"/>
      <c r="E2" s="8"/>
      <c r="F2" s="8"/>
      <c r="G2" s="8"/>
      <c r="H2" s="8"/>
      <c r="I2" s="8"/>
      <c r="J2" s="8"/>
      <c r="K2" s="15"/>
    </row>
    <row r="4" spans="1:11" ht="31.5" customHeight="1" x14ac:dyDescent="0.2">
      <c r="A4" s="16" t="s">
        <v>33</v>
      </c>
      <c r="B4" s="16" t="s">
        <v>34</v>
      </c>
      <c r="C4" s="16" t="s">
        <v>28</v>
      </c>
      <c r="D4" s="16" t="s">
        <v>35</v>
      </c>
      <c r="E4" s="16" t="s">
        <v>36</v>
      </c>
      <c r="F4" s="16" t="s">
        <v>37</v>
      </c>
      <c r="G4" s="16" t="s">
        <v>38</v>
      </c>
      <c r="H4" s="16" t="s">
        <v>39</v>
      </c>
      <c r="I4" s="16" t="s">
        <v>40</v>
      </c>
      <c r="J4" s="16" t="s">
        <v>41</v>
      </c>
      <c r="K4" s="16" t="s">
        <v>42</v>
      </c>
    </row>
    <row r="5" spans="1:11" ht="15" customHeight="1" x14ac:dyDescent="0.2">
      <c r="A5" s="17" t="s">
        <v>43</v>
      </c>
      <c r="B5" s="17" t="s">
        <v>44</v>
      </c>
      <c r="C5" s="18">
        <v>46211</v>
      </c>
      <c r="D5" s="17">
        <v>21</v>
      </c>
      <c r="E5" s="17" t="s">
        <v>45</v>
      </c>
      <c r="F5" s="17" t="s">
        <v>46</v>
      </c>
      <c r="G5" s="17" t="s">
        <v>47</v>
      </c>
      <c r="H5" s="17" t="s">
        <v>47</v>
      </c>
      <c r="I5" s="17" t="s">
        <v>30</v>
      </c>
      <c r="J5" s="17">
        <v>7</v>
      </c>
      <c r="K5" s="17" t="s">
        <v>48</v>
      </c>
    </row>
    <row r="6" spans="1:11" ht="15" customHeight="1" x14ac:dyDescent="0.2">
      <c r="A6" s="17" t="s">
        <v>49</v>
      </c>
      <c r="B6" s="17" t="s">
        <v>50</v>
      </c>
      <c r="C6" s="18">
        <v>46211</v>
      </c>
      <c r="D6" s="17">
        <v>21</v>
      </c>
      <c r="E6" s="17" t="s">
        <v>45</v>
      </c>
      <c r="F6" s="17" t="s">
        <v>46</v>
      </c>
      <c r="G6" s="17" t="s">
        <v>47</v>
      </c>
      <c r="H6" s="17" t="s">
        <v>47</v>
      </c>
      <c r="I6" s="17" t="s">
        <v>30</v>
      </c>
      <c r="J6" s="17">
        <v>7</v>
      </c>
      <c r="K6" s="17" t="s">
        <v>48</v>
      </c>
    </row>
    <row r="7" spans="1:11" ht="15" customHeight="1" x14ac:dyDescent="0.2">
      <c r="A7" s="17" t="s">
        <v>51</v>
      </c>
      <c r="B7" s="17" t="s">
        <v>52</v>
      </c>
      <c r="C7" s="18">
        <v>46211</v>
      </c>
      <c r="D7" s="17">
        <v>21</v>
      </c>
      <c r="E7" s="17" t="s">
        <v>45</v>
      </c>
      <c r="F7" s="17" t="s">
        <v>46</v>
      </c>
      <c r="G7" s="17" t="s">
        <v>47</v>
      </c>
      <c r="H7" s="17" t="s">
        <v>47</v>
      </c>
      <c r="I7" s="17" t="s">
        <v>30</v>
      </c>
      <c r="J7" s="17">
        <v>7</v>
      </c>
      <c r="K7" s="17" t="s">
        <v>48</v>
      </c>
    </row>
    <row r="8" spans="1:11" ht="15" customHeight="1" x14ac:dyDescent="0.2">
      <c r="A8" s="14" t="s">
        <v>53</v>
      </c>
      <c r="B8" s="14" t="s">
        <v>44</v>
      </c>
      <c r="C8" s="19">
        <v>46216</v>
      </c>
      <c r="D8" s="14">
        <v>23</v>
      </c>
      <c r="E8" s="14" t="s">
        <v>54</v>
      </c>
      <c r="F8" s="14" t="s">
        <v>55</v>
      </c>
      <c r="G8" s="14" t="s">
        <v>47</v>
      </c>
      <c r="H8" s="14" t="s">
        <v>56</v>
      </c>
      <c r="I8" s="14" t="s">
        <v>30</v>
      </c>
      <c r="J8" s="14">
        <v>3</v>
      </c>
      <c r="K8" s="14" t="s">
        <v>48</v>
      </c>
    </row>
    <row r="9" spans="1:11" ht="15" customHeight="1" x14ac:dyDescent="0.2">
      <c r="A9" s="13" t="s">
        <v>57</v>
      </c>
      <c r="B9" s="13" t="s">
        <v>50</v>
      </c>
      <c r="C9" s="20">
        <v>46216</v>
      </c>
      <c r="D9" s="13">
        <v>22</v>
      </c>
      <c r="E9" s="13" t="s">
        <v>45</v>
      </c>
      <c r="F9" s="13" t="s">
        <v>58</v>
      </c>
      <c r="G9" s="13" t="s">
        <v>47</v>
      </c>
      <c r="H9" s="13" t="s">
        <v>59</v>
      </c>
      <c r="I9" s="13" t="s">
        <v>30</v>
      </c>
      <c r="J9" s="13">
        <v>5</v>
      </c>
      <c r="K9" s="13" t="s">
        <v>48</v>
      </c>
    </row>
    <row r="10" spans="1:11" ht="15" customHeight="1" x14ac:dyDescent="0.2">
      <c r="A10" s="14" t="s">
        <v>60</v>
      </c>
      <c r="B10" s="14" t="s">
        <v>52</v>
      </c>
      <c r="C10" s="19">
        <v>46216</v>
      </c>
      <c r="D10" s="14">
        <v>20</v>
      </c>
      <c r="E10" s="14" t="s">
        <v>61</v>
      </c>
      <c r="F10" s="14" t="s">
        <v>62</v>
      </c>
      <c r="G10" s="14" t="s">
        <v>47</v>
      </c>
      <c r="H10" s="14" t="s">
        <v>63</v>
      </c>
      <c r="I10" s="14" t="s">
        <v>30</v>
      </c>
      <c r="J10" s="14">
        <v>3</v>
      </c>
      <c r="K10" s="14" t="s">
        <v>48</v>
      </c>
    </row>
    <row r="11" spans="1:11" ht="15" customHeight="1" x14ac:dyDescent="0.2">
      <c r="A11" s="13" t="s">
        <v>64</v>
      </c>
      <c r="B11" s="13" t="s">
        <v>44</v>
      </c>
      <c r="C11" s="20">
        <v>46216</v>
      </c>
      <c r="D11" s="13">
        <v>21</v>
      </c>
      <c r="E11" s="13" t="s">
        <v>65</v>
      </c>
      <c r="F11" s="13" t="s">
        <v>66</v>
      </c>
      <c r="G11" s="13" t="s">
        <v>47</v>
      </c>
      <c r="H11" s="13" t="s">
        <v>47</v>
      </c>
      <c r="I11" s="13" t="s">
        <v>30</v>
      </c>
      <c r="J11" s="13">
        <v>1</v>
      </c>
      <c r="K11" s="13" t="s">
        <v>48</v>
      </c>
    </row>
    <row r="12" spans="1:11" ht="15" customHeight="1" x14ac:dyDescent="0.2">
      <c r="A12" s="14" t="s">
        <v>67</v>
      </c>
      <c r="B12" s="14" t="s">
        <v>44</v>
      </c>
      <c r="C12" s="19">
        <v>46217</v>
      </c>
      <c r="D12" s="14">
        <v>24</v>
      </c>
      <c r="E12" s="14" t="s">
        <v>45</v>
      </c>
      <c r="F12" s="14" t="s">
        <v>68</v>
      </c>
      <c r="G12" s="14" t="s">
        <v>47</v>
      </c>
      <c r="H12" s="14" t="s">
        <v>69</v>
      </c>
      <c r="I12" s="14" t="s">
        <v>30</v>
      </c>
      <c r="J12" s="14">
        <v>7</v>
      </c>
      <c r="K12" s="14" t="s">
        <v>48</v>
      </c>
    </row>
    <row r="13" spans="1:11" ht="15" customHeight="1" x14ac:dyDescent="0.2">
      <c r="A13" s="13" t="s">
        <v>70</v>
      </c>
      <c r="B13" s="13" t="s">
        <v>50</v>
      </c>
      <c r="C13" s="20">
        <v>46217</v>
      </c>
      <c r="D13" s="13">
        <v>24</v>
      </c>
      <c r="E13" s="13" t="s">
        <v>45</v>
      </c>
      <c r="F13" s="13" t="s">
        <v>68</v>
      </c>
      <c r="G13" s="13" t="s">
        <v>47</v>
      </c>
      <c r="H13" s="13" t="s">
        <v>69</v>
      </c>
      <c r="I13" s="13" t="s">
        <v>30</v>
      </c>
      <c r="J13" s="13">
        <v>7</v>
      </c>
      <c r="K13" s="13" t="s">
        <v>48</v>
      </c>
    </row>
    <row r="14" spans="1:11" ht="15" customHeight="1" x14ac:dyDescent="0.2">
      <c r="A14" s="14" t="s">
        <v>71</v>
      </c>
      <c r="B14" s="14" t="s">
        <v>52</v>
      </c>
      <c r="C14" s="19">
        <v>46217</v>
      </c>
      <c r="D14" s="14">
        <v>24</v>
      </c>
      <c r="E14" s="14" t="s">
        <v>45</v>
      </c>
      <c r="F14" s="14" t="s">
        <v>68</v>
      </c>
      <c r="G14" s="14" t="s">
        <v>47</v>
      </c>
      <c r="H14" s="14" t="s">
        <v>69</v>
      </c>
      <c r="I14" s="14" t="s">
        <v>30</v>
      </c>
      <c r="J14" s="14">
        <v>7</v>
      </c>
      <c r="K14" s="14" t="s">
        <v>48</v>
      </c>
    </row>
    <row r="15" spans="1:11" ht="15" customHeight="1" x14ac:dyDescent="0.2">
      <c r="A15" s="13" t="s">
        <v>72</v>
      </c>
      <c r="B15" s="13" t="s">
        <v>44</v>
      </c>
      <c r="C15" s="20">
        <v>46217</v>
      </c>
      <c r="D15" s="13">
        <v>23</v>
      </c>
      <c r="E15" s="13" t="s">
        <v>45</v>
      </c>
      <c r="F15" s="13" t="s">
        <v>73</v>
      </c>
      <c r="G15" s="13" t="s">
        <v>47</v>
      </c>
      <c r="H15" s="13" t="s">
        <v>47</v>
      </c>
      <c r="I15" s="13" t="s">
        <v>30</v>
      </c>
      <c r="J15" s="13">
        <v>2</v>
      </c>
      <c r="K15" s="13" t="s">
        <v>48</v>
      </c>
    </row>
    <row r="16" spans="1:11" ht="15" customHeight="1" x14ac:dyDescent="0.2">
      <c r="A16" s="14" t="s">
        <v>74</v>
      </c>
      <c r="B16" s="14" t="s">
        <v>50</v>
      </c>
      <c r="C16" s="19">
        <v>46217</v>
      </c>
      <c r="D16" s="14">
        <v>23</v>
      </c>
      <c r="E16" s="14" t="s">
        <v>45</v>
      </c>
      <c r="F16" s="14" t="s">
        <v>75</v>
      </c>
      <c r="G16" s="14" t="s">
        <v>47</v>
      </c>
      <c r="H16" s="14" t="s">
        <v>47</v>
      </c>
      <c r="I16" s="14" t="s">
        <v>30</v>
      </c>
      <c r="J16" s="14">
        <v>2</v>
      </c>
      <c r="K16" s="14" t="s">
        <v>48</v>
      </c>
    </row>
    <row r="17" spans="1:11" ht="15" customHeight="1" x14ac:dyDescent="0.2">
      <c r="A17" s="13" t="s">
        <v>76</v>
      </c>
      <c r="B17" s="13" t="s">
        <v>52</v>
      </c>
      <c r="C17" s="20">
        <v>46217</v>
      </c>
      <c r="D17" s="13">
        <v>23</v>
      </c>
      <c r="E17" s="13" t="s">
        <v>45</v>
      </c>
      <c r="F17" s="13" t="s">
        <v>73</v>
      </c>
      <c r="G17" s="13" t="s">
        <v>47</v>
      </c>
      <c r="H17" s="13" t="s">
        <v>47</v>
      </c>
      <c r="I17" s="13" t="s">
        <v>30</v>
      </c>
      <c r="J17" s="13">
        <v>2</v>
      </c>
      <c r="K17" s="13" t="s">
        <v>48</v>
      </c>
    </row>
    <row r="18" spans="1:11" ht="15" customHeight="1" x14ac:dyDescent="0.2">
      <c r="A18" s="14" t="s">
        <v>77</v>
      </c>
      <c r="B18" s="14" t="s">
        <v>44</v>
      </c>
      <c r="C18" s="19">
        <v>46217</v>
      </c>
      <c r="D18" s="14">
        <v>23</v>
      </c>
      <c r="E18" s="14" t="s">
        <v>45</v>
      </c>
      <c r="F18" s="14" t="s">
        <v>68</v>
      </c>
      <c r="G18" s="14" t="s">
        <v>47</v>
      </c>
      <c r="H18" s="14" t="s">
        <v>47</v>
      </c>
      <c r="I18" s="14" t="s">
        <v>30</v>
      </c>
      <c r="J18" s="14">
        <v>3</v>
      </c>
      <c r="K18" s="14" t="s">
        <v>48</v>
      </c>
    </row>
    <row r="19" spans="1:11" ht="15" customHeight="1" x14ac:dyDescent="0.2">
      <c r="A19" s="13" t="s">
        <v>78</v>
      </c>
      <c r="B19" s="13" t="s">
        <v>50</v>
      </c>
      <c r="C19" s="20">
        <v>46219</v>
      </c>
      <c r="D19" s="13">
        <v>21</v>
      </c>
      <c r="E19" s="13" t="s">
        <v>54</v>
      </c>
      <c r="F19" s="13" t="s">
        <v>79</v>
      </c>
      <c r="G19" s="13" t="s">
        <v>47</v>
      </c>
      <c r="H19" s="13" t="s">
        <v>47</v>
      </c>
      <c r="I19" s="13" t="s">
        <v>30</v>
      </c>
      <c r="J19" s="13">
        <v>6</v>
      </c>
      <c r="K19" s="13" t="s">
        <v>48</v>
      </c>
    </row>
    <row r="20" spans="1:11" ht="15" customHeight="1" x14ac:dyDescent="0.2">
      <c r="A20" s="14" t="s">
        <v>80</v>
      </c>
      <c r="B20" s="14" t="s">
        <v>44</v>
      </c>
      <c r="C20" s="19">
        <v>46219</v>
      </c>
      <c r="D20" s="14">
        <v>22</v>
      </c>
      <c r="E20" s="14" t="s">
        <v>54</v>
      </c>
      <c r="F20" s="14" t="s">
        <v>81</v>
      </c>
      <c r="G20" s="14" t="s">
        <v>47</v>
      </c>
      <c r="H20" s="14" t="s">
        <v>82</v>
      </c>
      <c r="I20" s="14" t="s">
        <v>30</v>
      </c>
      <c r="J20" s="14">
        <v>2</v>
      </c>
      <c r="K20" s="14" t="s">
        <v>48</v>
      </c>
    </row>
    <row r="21" spans="1:11" ht="15" customHeight="1" x14ac:dyDescent="0.2">
      <c r="A21" s="13" t="s">
        <v>83</v>
      </c>
      <c r="B21" s="13" t="s">
        <v>50</v>
      </c>
      <c r="C21" s="20">
        <v>46219</v>
      </c>
      <c r="D21" s="13">
        <v>22</v>
      </c>
      <c r="E21" s="13" t="s">
        <v>54</v>
      </c>
      <c r="F21" s="13" t="s">
        <v>81</v>
      </c>
      <c r="G21" s="13" t="s">
        <v>47</v>
      </c>
      <c r="H21" s="13" t="s">
        <v>82</v>
      </c>
      <c r="I21" s="13" t="s">
        <v>30</v>
      </c>
      <c r="J21" s="13">
        <v>2</v>
      </c>
      <c r="K21" s="13" t="s">
        <v>48</v>
      </c>
    </row>
    <row r="22" spans="1:11" ht="15" customHeight="1" x14ac:dyDescent="0.2">
      <c r="A22" s="14" t="s">
        <v>84</v>
      </c>
      <c r="B22" s="14" t="s">
        <v>52</v>
      </c>
      <c r="C22" s="19">
        <v>46219</v>
      </c>
      <c r="D22" s="14">
        <v>22</v>
      </c>
      <c r="E22" s="14" t="s">
        <v>54</v>
      </c>
      <c r="F22" s="14" t="s">
        <v>81</v>
      </c>
      <c r="G22" s="14" t="s">
        <v>47</v>
      </c>
      <c r="H22" s="14" t="s">
        <v>82</v>
      </c>
      <c r="I22" s="14" t="s">
        <v>30</v>
      </c>
      <c r="J22" s="14">
        <v>2</v>
      </c>
      <c r="K22" s="14" t="s">
        <v>48</v>
      </c>
    </row>
    <row r="23" spans="1:11" ht="15" customHeight="1" x14ac:dyDescent="0.2">
      <c r="A23" s="13" t="s">
        <v>85</v>
      </c>
      <c r="B23" s="13" t="s">
        <v>52</v>
      </c>
      <c r="C23" s="20">
        <v>46219</v>
      </c>
      <c r="D23" s="13">
        <v>26</v>
      </c>
      <c r="E23" s="13" t="s">
        <v>54</v>
      </c>
      <c r="F23" s="13" t="s">
        <v>86</v>
      </c>
      <c r="G23" s="13" t="s">
        <v>47</v>
      </c>
      <c r="H23" s="13" t="s">
        <v>87</v>
      </c>
      <c r="I23" s="13" t="s">
        <v>30</v>
      </c>
      <c r="J23" s="13">
        <v>7</v>
      </c>
      <c r="K23" s="13" t="s">
        <v>48</v>
      </c>
    </row>
    <row r="24" spans="1:11" ht="15" customHeight="1" x14ac:dyDescent="0.2"/>
    <row r="25" spans="1:11" ht="15" customHeight="1" x14ac:dyDescent="0.2"/>
    <row r="26" spans="1:11" ht="15" customHeight="1" x14ac:dyDescent="0.2"/>
    <row r="27" spans="1:11" ht="15" customHeight="1" x14ac:dyDescent="0.2"/>
    <row r="28" spans="1:11" ht="15" customHeight="1" x14ac:dyDescent="0.2"/>
    <row r="29" spans="1:11" ht="15" customHeight="1" x14ac:dyDescent="0.2"/>
  </sheetData>
  <mergeCells count="2">
    <mergeCell ref="A1:K1"/>
    <mergeCell ref="A2:J2"/>
  </mergeCells>
  <dataValidations count="6">
    <dataValidation type="list" allowBlank="1" sqref="D5:D28" xr:uid="{00000000-0002-0000-0200-000000000000}">
      <formula1>"Never,Once or twice,Occasionally,Regularly"</formula1>
      <formula2>0</formula2>
    </dataValidation>
    <dataValidation type="list" allowBlank="1" sqref="E5:E28" xr:uid="{00000000-0002-0000-0200-000001000000}">
      <formula1>"Glasses,Contacts,No correction"</formula1>
      <formula2>0</formula2>
    </dataValidation>
    <dataValidation type="list" allowBlank="1" sqref="F5:F28 H5:H28" xr:uid="{00000000-0002-0000-0200-000002000000}">
      <formula1>"Yes,No,N/A"</formula1>
      <formula2>0</formula2>
    </dataValidation>
    <dataValidation type="list" allowBlank="1" sqref="G5:G28" xr:uid="{00000000-0002-0000-0200-000003000000}">
      <formula1>"Yes,No,Not sure"</formula1>
      <formula2>0</formula2>
    </dataValidation>
    <dataValidation type="list" allowBlank="1" sqref="I5:I28" xr:uid="{00000000-0002-0000-0200-000004000000}">
      <formula1>"Yes,Somewhat,Not really"</formula1>
      <formula2>0</formula2>
    </dataValidation>
    <dataValidation type="list" allowBlank="1" sqref="J5:J28" xr:uid="{00000000-0002-0000-0200-000005000000}">
      <formula1>"Eligible,Excluded"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zoomScaleNormal="100" workbookViewId="0">
      <selection activeCell="A5" sqref="A5"/>
    </sheetView>
  </sheetViews>
  <sheetFormatPr baseColWidth="10" defaultColWidth="8.6640625" defaultRowHeight="15" x14ac:dyDescent="0.2"/>
  <cols>
    <col min="1" max="1" width="100" customWidth="1"/>
  </cols>
  <sheetData>
    <row r="1" spans="1:2" ht="24" customHeight="1" x14ac:dyDescent="0.2">
      <c r="A1" s="6" t="s">
        <v>88</v>
      </c>
      <c r="B1" s="6"/>
    </row>
    <row r="3" spans="1:2" ht="15" customHeight="1" x14ac:dyDescent="0.2">
      <c r="A3" s="21" t="s">
        <v>89</v>
      </c>
    </row>
    <row r="5" spans="1:2" ht="409.5" customHeight="1" x14ac:dyDescent="0.2">
      <c r="A5" s="22" t="s">
        <v>90</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8"/>
  <sheetViews>
    <sheetView zoomScaleNormal="100" workbookViewId="0">
      <pane ySplit="4" topLeftCell="A8" activePane="bottomLeft" state="frozen"/>
      <selection pane="bottomLeft" activeCell="M22" sqref="M22"/>
    </sheetView>
  </sheetViews>
  <sheetFormatPr baseColWidth="10" defaultColWidth="8.6640625" defaultRowHeight="15" x14ac:dyDescent="0.2"/>
  <cols>
    <col min="1" max="1" width="14" customWidth="1"/>
    <col min="2" max="2" width="15" customWidth="1"/>
    <col min="3" max="3" width="13" customWidth="1"/>
    <col min="4" max="4" width="10" customWidth="1"/>
    <col min="5" max="5" width="18" customWidth="1"/>
    <col min="6" max="9" width="14" customWidth="1"/>
    <col min="10" max="10" width="13" customWidth="1"/>
    <col min="11" max="11" width="14" customWidth="1"/>
    <col min="12" max="12" width="13" customWidth="1"/>
    <col min="13" max="14" width="14" customWidth="1"/>
    <col min="15" max="15" width="18" customWidth="1"/>
    <col min="16" max="16" width="36" customWidth="1"/>
  </cols>
  <sheetData>
    <row r="1" spans="1:16" ht="24" customHeight="1" x14ac:dyDescent="0.2">
      <c r="A1" s="9" t="s">
        <v>91</v>
      </c>
      <c r="B1" s="9"/>
      <c r="C1" s="9"/>
      <c r="D1" s="9"/>
      <c r="E1" s="9"/>
      <c r="F1" s="9"/>
      <c r="G1" s="9"/>
      <c r="H1" s="9"/>
      <c r="I1" s="9"/>
      <c r="J1" s="10"/>
      <c r="K1" s="10"/>
      <c r="L1" s="10"/>
      <c r="M1" s="10"/>
      <c r="N1" s="10"/>
      <c r="O1" s="10"/>
      <c r="P1" s="10"/>
    </row>
    <row r="2" spans="1:16" ht="30" customHeight="1" x14ac:dyDescent="0.2">
      <c r="A2" s="8" t="s">
        <v>92</v>
      </c>
      <c r="B2" s="8"/>
      <c r="C2" s="8"/>
      <c r="D2" s="8"/>
      <c r="E2" s="8"/>
      <c r="F2" s="8"/>
      <c r="G2" s="8"/>
      <c r="H2" s="8"/>
      <c r="I2" s="8"/>
      <c r="J2" s="8"/>
      <c r="K2" s="8"/>
      <c r="L2" s="8"/>
      <c r="M2" s="8"/>
      <c r="N2" s="8"/>
      <c r="O2" s="8"/>
      <c r="P2" s="8"/>
    </row>
    <row r="4" spans="1:16" ht="39.75" customHeight="1" x14ac:dyDescent="0.2">
      <c r="A4" s="16" t="s">
        <v>33</v>
      </c>
      <c r="B4" s="16" t="s">
        <v>34</v>
      </c>
      <c r="C4" s="16" t="s">
        <v>93</v>
      </c>
      <c r="D4" s="16" t="s">
        <v>94</v>
      </c>
      <c r="E4" s="16" t="s">
        <v>95</v>
      </c>
      <c r="F4" s="23" t="s">
        <v>96</v>
      </c>
      <c r="G4" s="23" t="s">
        <v>97</v>
      </c>
      <c r="H4" s="23" t="s">
        <v>98</v>
      </c>
      <c r="I4" s="23" t="s">
        <v>99</v>
      </c>
      <c r="J4" s="23" t="s">
        <v>100</v>
      </c>
      <c r="K4" s="23" t="s">
        <v>101</v>
      </c>
      <c r="L4" s="16" t="s">
        <v>102</v>
      </c>
      <c r="M4" s="16" t="s">
        <v>103</v>
      </c>
      <c r="N4" s="16" t="s">
        <v>104</v>
      </c>
      <c r="O4" s="16" t="s">
        <v>105</v>
      </c>
      <c r="P4" s="16" t="s">
        <v>106</v>
      </c>
    </row>
    <row r="5" spans="1:16" ht="15" customHeight="1" x14ac:dyDescent="0.2">
      <c r="A5" s="17" t="s">
        <v>43</v>
      </c>
      <c r="B5" s="17" t="s">
        <v>44</v>
      </c>
      <c r="C5" s="17" t="s">
        <v>107</v>
      </c>
      <c r="D5" s="17">
        <v>1</v>
      </c>
      <c r="E5" s="17">
        <v>4</v>
      </c>
      <c r="F5" s="17">
        <v>65</v>
      </c>
      <c r="G5" s="17">
        <v>25</v>
      </c>
      <c r="H5" s="17">
        <v>30</v>
      </c>
      <c r="I5" s="17">
        <v>10</v>
      </c>
      <c r="J5" s="17">
        <v>70</v>
      </c>
      <c r="K5" s="17">
        <v>20</v>
      </c>
      <c r="L5" s="17">
        <f t="shared" ref="L5:L36" si="0">IF(COUNT(F5:K5)=6, AVERAGE(F5:K5), "")</f>
        <v>36.666666666666664</v>
      </c>
      <c r="M5" s="17">
        <v>3</v>
      </c>
      <c r="N5" s="17">
        <v>3</v>
      </c>
      <c r="O5" s="17"/>
      <c r="P5" s="17"/>
    </row>
    <row r="6" spans="1:16" ht="15" customHeight="1" x14ac:dyDescent="0.2">
      <c r="A6" s="17" t="s">
        <v>43</v>
      </c>
      <c r="B6" s="17" t="s">
        <v>44</v>
      </c>
      <c r="C6" s="17" t="s">
        <v>108</v>
      </c>
      <c r="D6" s="17">
        <v>1</v>
      </c>
      <c r="E6" s="17">
        <v>5</v>
      </c>
      <c r="F6" s="17">
        <v>75</v>
      </c>
      <c r="G6" s="17">
        <v>25</v>
      </c>
      <c r="H6" s="17">
        <v>30</v>
      </c>
      <c r="I6" s="17">
        <v>10</v>
      </c>
      <c r="J6" s="17">
        <v>80</v>
      </c>
      <c r="K6" s="17">
        <v>20</v>
      </c>
      <c r="L6" s="17">
        <f t="shared" si="0"/>
        <v>40</v>
      </c>
      <c r="M6" s="17">
        <v>3</v>
      </c>
      <c r="N6" s="17">
        <v>4</v>
      </c>
      <c r="O6" s="17"/>
      <c r="P6" s="17"/>
    </row>
    <row r="7" spans="1:16" ht="15" customHeight="1" x14ac:dyDescent="0.2">
      <c r="A7" s="17" t="s">
        <v>43</v>
      </c>
      <c r="B7" s="17" t="s">
        <v>44</v>
      </c>
      <c r="C7" s="17" t="s">
        <v>109</v>
      </c>
      <c r="D7" s="17">
        <v>1</v>
      </c>
      <c r="E7" s="17">
        <v>3</v>
      </c>
      <c r="F7" s="17">
        <v>80</v>
      </c>
      <c r="G7" s="17">
        <v>25</v>
      </c>
      <c r="H7" s="17">
        <v>30</v>
      </c>
      <c r="I7" s="17">
        <v>10</v>
      </c>
      <c r="J7" s="17">
        <v>80</v>
      </c>
      <c r="K7" s="17">
        <v>25</v>
      </c>
      <c r="L7" s="17">
        <f t="shared" si="0"/>
        <v>41.666666666666664</v>
      </c>
      <c r="M7" s="17">
        <v>3</v>
      </c>
      <c r="N7" s="17">
        <v>2</v>
      </c>
      <c r="O7" s="17"/>
      <c r="P7" s="17"/>
    </row>
    <row r="8" spans="1:16" ht="15" customHeight="1" x14ac:dyDescent="0.2">
      <c r="A8" s="17" t="s">
        <v>49</v>
      </c>
      <c r="B8" s="17" t="s">
        <v>50</v>
      </c>
      <c r="C8" s="17" t="s">
        <v>107</v>
      </c>
      <c r="D8" s="17">
        <v>1</v>
      </c>
      <c r="E8" s="17">
        <v>2</v>
      </c>
      <c r="F8" s="17">
        <v>20</v>
      </c>
      <c r="G8" s="17">
        <v>0</v>
      </c>
      <c r="H8" s="17">
        <v>10</v>
      </c>
      <c r="I8" s="17">
        <v>20</v>
      </c>
      <c r="J8" s="17">
        <v>20</v>
      </c>
      <c r="K8" s="17">
        <v>30</v>
      </c>
      <c r="L8" s="17">
        <f t="shared" si="0"/>
        <v>16.666666666666668</v>
      </c>
      <c r="M8" s="17">
        <v>3</v>
      </c>
      <c r="N8" s="17">
        <v>0</v>
      </c>
      <c r="O8" s="17"/>
      <c r="P8" s="17" t="s">
        <v>110</v>
      </c>
    </row>
    <row r="9" spans="1:16" ht="15" customHeight="1" x14ac:dyDescent="0.2">
      <c r="A9" s="17" t="s">
        <v>49</v>
      </c>
      <c r="B9" s="17" t="s">
        <v>50</v>
      </c>
      <c r="C9" s="17" t="s">
        <v>108</v>
      </c>
      <c r="D9" s="17">
        <v>1</v>
      </c>
      <c r="E9" s="17">
        <v>2</v>
      </c>
      <c r="F9" s="17">
        <v>20</v>
      </c>
      <c r="G9" s="17">
        <v>0</v>
      </c>
      <c r="H9" s="17">
        <v>10</v>
      </c>
      <c r="I9" s="17">
        <v>20</v>
      </c>
      <c r="J9" s="17">
        <v>20</v>
      </c>
      <c r="K9" s="17">
        <v>30</v>
      </c>
      <c r="L9" s="17">
        <f t="shared" si="0"/>
        <v>16.666666666666668</v>
      </c>
      <c r="M9" s="17">
        <v>5</v>
      </c>
      <c r="N9" s="17">
        <v>0</v>
      </c>
      <c r="O9" s="17"/>
      <c r="P9" s="17" t="s">
        <v>111</v>
      </c>
    </row>
    <row r="10" spans="1:16" ht="15" customHeight="1" x14ac:dyDescent="0.2">
      <c r="A10" s="17" t="s">
        <v>49</v>
      </c>
      <c r="B10" s="17" t="s">
        <v>50</v>
      </c>
      <c r="C10" s="17" t="s">
        <v>109</v>
      </c>
      <c r="D10" s="17">
        <v>1</v>
      </c>
      <c r="E10" s="17">
        <v>2</v>
      </c>
      <c r="F10" s="17">
        <v>20</v>
      </c>
      <c r="G10" s="17">
        <v>0</v>
      </c>
      <c r="H10" s="17">
        <v>10</v>
      </c>
      <c r="I10" s="17">
        <v>20</v>
      </c>
      <c r="J10" s="17">
        <v>50</v>
      </c>
      <c r="K10" s="17">
        <v>80</v>
      </c>
      <c r="L10" s="17">
        <f t="shared" si="0"/>
        <v>30</v>
      </c>
      <c r="M10" s="17">
        <v>1</v>
      </c>
      <c r="N10" s="17">
        <v>0</v>
      </c>
      <c r="O10" s="17"/>
      <c r="P10" s="17" t="s">
        <v>112</v>
      </c>
    </row>
    <row r="11" spans="1:16" ht="15" customHeight="1" x14ac:dyDescent="0.2">
      <c r="A11" s="17" t="s">
        <v>51</v>
      </c>
      <c r="B11" s="17" t="s">
        <v>52</v>
      </c>
      <c r="C11" s="17" t="s">
        <v>107</v>
      </c>
      <c r="D11" s="17">
        <v>1</v>
      </c>
      <c r="E11" s="17">
        <v>4</v>
      </c>
      <c r="F11" s="17">
        <v>70</v>
      </c>
      <c r="G11" s="17">
        <v>25</v>
      </c>
      <c r="H11" s="17">
        <v>30</v>
      </c>
      <c r="I11" s="17">
        <v>30</v>
      </c>
      <c r="J11" s="17">
        <v>80</v>
      </c>
      <c r="K11" s="17">
        <v>20</v>
      </c>
      <c r="L11" s="17">
        <f t="shared" si="0"/>
        <v>42.5</v>
      </c>
      <c r="M11" s="17">
        <v>4</v>
      </c>
      <c r="N11" s="17">
        <v>3</v>
      </c>
      <c r="O11" s="17"/>
      <c r="P11" s="17"/>
    </row>
    <row r="12" spans="1:16" ht="15" customHeight="1" x14ac:dyDescent="0.2">
      <c r="A12" s="17" t="s">
        <v>51</v>
      </c>
      <c r="B12" s="17" t="s">
        <v>52</v>
      </c>
      <c r="C12" s="17" t="s">
        <v>108</v>
      </c>
      <c r="D12" s="17">
        <v>1</v>
      </c>
      <c r="E12" s="17">
        <v>5</v>
      </c>
      <c r="F12" s="17">
        <v>80</v>
      </c>
      <c r="G12" s="17">
        <v>25</v>
      </c>
      <c r="H12" s="17">
        <v>30</v>
      </c>
      <c r="I12" s="17">
        <v>30</v>
      </c>
      <c r="J12" s="17">
        <v>85</v>
      </c>
      <c r="K12" s="17">
        <v>25</v>
      </c>
      <c r="L12" s="17">
        <f t="shared" si="0"/>
        <v>45.833333333333336</v>
      </c>
      <c r="M12" s="17">
        <v>5</v>
      </c>
      <c r="N12" s="17">
        <v>4</v>
      </c>
      <c r="O12" s="17"/>
      <c r="P12" s="17"/>
    </row>
    <row r="13" spans="1:16" ht="15" customHeight="1" x14ac:dyDescent="0.2">
      <c r="A13" s="17" t="s">
        <v>51</v>
      </c>
      <c r="B13" s="17" t="s">
        <v>52</v>
      </c>
      <c r="C13" s="17" t="s">
        <v>109</v>
      </c>
      <c r="D13" s="17">
        <v>1</v>
      </c>
      <c r="E13" s="17">
        <v>5</v>
      </c>
      <c r="F13" s="17">
        <v>90</v>
      </c>
      <c r="G13" s="17">
        <v>25</v>
      </c>
      <c r="H13" s="17">
        <v>30</v>
      </c>
      <c r="I13" s="17">
        <v>30</v>
      </c>
      <c r="J13" s="17">
        <v>85</v>
      </c>
      <c r="K13" s="17">
        <v>25</v>
      </c>
      <c r="L13" s="17">
        <f t="shared" si="0"/>
        <v>47.5</v>
      </c>
      <c r="M13" s="17">
        <v>2</v>
      </c>
      <c r="N13" s="17">
        <v>2</v>
      </c>
      <c r="O13" s="17"/>
      <c r="P13" s="17"/>
    </row>
    <row r="14" spans="1:16" ht="15" customHeight="1" x14ac:dyDescent="0.2">
      <c r="A14" s="14" t="s">
        <v>53</v>
      </c>
      <c r="B14" s="14" t="s">
        <v>44</v>
      </c>
      <c r="C14" s="14" t="s">
        <v>107</v>
      </c>
      <c r="D14" s="14">
        <v>1</v>
      </c>
      <c r="E14" s="14">
        <v>4</v>
      </c>
      <c r="F14" s="14">
        <v>50</v>
      </c>
      <c r="G14" s="14">
        <v>70</v>
      </c>
      <c r="H14" s="14">
        <v>20</v>
      </c>
      <c r="I14" s="14">
        <v>20</v>
      </c>
      <c r="J14" s="14">
        <v>60</v>
      </c>
      <c r="K14" s="14">
        <v>10</v>
      </c>
      <c r="L14" s="14">
        <f t="shared" si="0"/>
        <v>38.333333333333336</v>
      </c>
      <c r="M14" s="14">
        <v>6</v>
      </c>
      <c r="N14" s="14">
        <v>5</v>
      </c>
      <c r="O14" s="14"/>
      <c r="P14" s="14" t="s">
        <v>113</v>
      </c>
    </row>
    <row r="15" spans="1:16" ht="15" customHeight="1" x14ac:dyDescent="0.2">
      <c r="A15" s="14" t="s">
        <v>53</v>
      </c>
      <c r="B15" s="14" t="s">
        <v>44</v>
      </c>
      <c r="C15" s="14" t="s">
        <v>108</v>
      </c>
      <c r="D15" s="14">
        <v>1</v>
      </c>
      <c r="E15" s="14">
        <v>4</v>
      </c>
      <c r="F15" s="14">
        <v>70</v>
      </c>
      <c r="G15" s="14">
        <v>75</v>
      </c>
      <c r="H15" s="14">
        <v>20</v>
      </c>
      <c r="I15" s="14">
        <v>30</v>
      </c>
      <c r="J15" s="14">
        <v>60</v>
      </c>
      <c r="K15" s="14">
        <v>20</v>
      </c>
      <c r="L15" s="14">
        <f t="shared" si="0"/>
        <v>45.833333333333336</v>
      </c>
      <c r="M15" s="14">
        <v>4</v>
      </c>
      <c r="N15" s="14">
        <v>4</v>
      </c>
      <c r="O15" s="14"/>
      <c r="P15" s="14" t="s">
        <v>114</v>
      </c>
    </row>
    <row r="16" spans="1:16" ht="15" customHeight="1" x14ac:dyDescent="0.2">
      <c r="A16" s="14" t="s">
        <v>53</v>
      </c>
      <c r="B16" s="14" t="s">
        <v>44</v>
      </c>
      <c r="C16" s="14" t="s">
        <v>109</v>
      </c>
      <c r="D16" s="14">
        <v>1</v>
      </c>
      <c r="E16" s="14">
        <v>7</v>
      </c>
      <c r="F16" s="14">
        <v>90</v>
      </c>
      <c r="G16" s="14">
        <v>80</v>
      </c>
      <c r="H16" s="14">
        <v>20</v>
      </c>
      <c r="I16" s="14">
        <v>30</v>
      </c>
      <c r="J16" s="14">
        <v>75</v>
      </c>
      <c r="K16" s="14">
        <v>60</v>
      </c>
      <c r="L16" s="14">
        <f t="shared" si="0"/>
        <v>59.166666666666664</v>
      </c>
      <c r="M16" s="14">
        <v>2</v>
      </c>
      <c r="N16" s="14">
        <v>4</v>
      </c>
      <c r="O16" s="14"/>
      <c r="P16" s="14" t="s">
        <v>115</v>
      </c>
    </row>
    <row r="17" spans="1:16" ht="15" customHeight="1" x14ac:dyDescent="0.2">
      <c r="A17" s="13" t="s">
        <v>57</v>
      </c>
      <c r="B17" s="13" t="s">
        <v>50</v>
      </c>
      <c r="C17" s="13" t="s">
        <v>107</v>
      </c>
      <c r="D17" s="13">
        <v>1</v>
      </c>
      <c r="E17" s="13">
        <v>3</v>
      </c>
      <c r="F17" s="13">
        <v>50</v>
      </c>
      <c r="G17" s="13">
        <v>30</v>
      </c>
      <c r="H17" s="13">
        <v>20</v>
      </c>
      <c r="I17" s="13">
        <v>20</v>
      </c>
      <c r="J17" s="13">
        <v>50</v>
      </c>
      <c r="K17" s="13">
        <v>40</v>
      </c>
      <c r="L17" s="13">
        <f t="shared" si="0"/>
        <v>35</v>
      </c>
      <c r="M17" s="13">
        <v>7</v>
      </c>
      <c r="N17" s="13">
        <v>0</v>
      </c>
      <c r="O17" s="13"/>
      <c r="P17" s="13" t="s">
        <v>116</v>
      </c>
    </row>
    <row r="18" spans="1:16" ht="15" customHeight="1" x14ac:dyDescent="0.2">
      <c r="A18" s="13" t="s">
        <v>57</v>
      </c>
      <c r="B18" s="13" t="s">
        <v>50</v>
      </c>
      <c r="C18" s="13" t="s">
        <v>108</v>
      </c>
      <c r="D18" s="13">
        <v>1</v>
      </c>
      <c r="E18" s="13">
        <v>4</v>
      </c>
      <c r="F18" s="13">
        <v>60</v>
      </c>
      <c r="G18" s="13">
        <v>30</v>
      </c>
      <c r="H18" s="13">
        <v>20</v>
      </c>
      <c r="I18" s="13">
        <v>20</v>
      </c>
      <c r="J18" s="13">
        <v>70</v>
      </c>
      <c r="K18" s="13">
        <v>60</v>
      </c>
      <c r="L18" s="13">
        <f t="shared" si="0"/>
        <v>43.333333333333336</v>
      </c>
      <c r="M18" s="13">
        <v>6</v>
      </c>
      <c r="N18" s="13">
        <v>0</v>
      </c>
      <c r="O18" s="13"/>
      <c r="P18" s="13" t="s">
        <v>117</v>
      </c>
    </row>
    <row r="19" spans="1:16" ht="15" customHeight="1" x14ac:dyDescent="0.2">
      <c r="A19" s="13" t="s">
        <v>57</v>
      </c>
      <c r="B19" s="13" t="s">
        <v>50</v>
      </c>
      <c r="C19" s="13" t="s">
        <v>109</v>
      </c>
      <c r="D19" s="13">
        <v>1</v>
      </c>
      <c r="E19" s="13">
        <v>6</v>
      </c>
      <c r="F19" s="13">
        <v>80</v>
      </c>
      <c r="G19" s="13">
        <v>30</v>
      </c>
      <c r="H19" s="13">
        <v>20</v>
      </c>
      <c r="I19" s="13">
        <v>20</v>
      </c>
      <c r="J19" s="13">
        <v>90</v>
      </c>
      <c r="K19" s="13">
        <v>90</v>
      </c>
      <c r="L19" s="13">
        <f t="shared" si="0"/>
        <v>55</v>
      </c>
      <c r="M19" s="13">
        <v>2</v>
      </c>
      <c r="N19" s="13">
        <v>0</v>
      </c>
      <c r="O19" s="13"/>
      <c r="P19" s="13" t="s">
        <v>118</v>
      </c>
    </row>
    <row r="20" spans="1:16" ht="15" customHeight="1" x14ac:dyDescent="0.2">
      <c r="A20" s="14" t="s">
        <v>60</v>
      </c>
      <c r="B20" s="14" t="s">
        <v>52</v>
      </c>
      <c r="C20" s="14" t="s">
        <v>107</v>
      </c>
      <c r="D20" s="14">
        <v>1</v>
      </c>
      <c r="E20" s="14"/>
      <c r="F20" s="14">
        <v>83</v>
      </c>
      <c r="G20" s="14">
        <v>57</v>
      </c>
      <c r="H20" s="14">
        <v>30</v>
      </c>
      <c r="I20" s="14">
        <v>30</v>
      </c>
      <c r="J20" s="14">
        <v>75</v>
      </c>
      <c r="K20" s="14">
        <v>95</v>
      </c>
      <c r="L20" s="14">
        <f t="shared" si="0"/>
        <v>61.666666666666664</v>
      </c>
      <c r="M20" s="14">
        <v>3</v>
      </c>
      <c r="N20" s="14">
        <v>3</v>
      </c>
      <c r="O20" s="14"/>
      <c r="P20" s="14" t="s">
        <v>119</v>
      </c>
    </row>
    <row r="21" spans="1:16" ht="15" customHeight="1" x14ac:dyDescent="0.2">
      <c r="A21" s="14" t="s">
        <v>60</v>
      </c>
      <c r="B21" s="14" t="s">
        <v>52</v>
      </c>
      <c r="C21" s="14" t="s">
        <v>108</v>
      </c>
      <c r="D21" s="14">
        <v>1</v>
      </c>
      <c r="E21" s="14"/>
      <c r="F21" s="14">
        <v>85</v>
      </c>
      <c r="G21" s="14">
        <v>57</v>
      </c>
      <c r="H21" s="14">
        <v>30</v>
      </c>
      <c r="I21" s="14">
        <v>15</v>
      </c>
      <c r="J21" s="14">
        <v>88</v>
      </c>
      <c r="K21" s="14">
        <v>75</v>
      </c>
      <c r="L21" s="14">
        <f t="shared" si="0"/>
        <v>58.333333333333336</v>
      </c>
      <c r="M21" s="14">
        <v>2</v>
      </c>
      <c r="N21" s="14">
        <v>3</v>
      </c>
      <c r="O21" s="14"/>
      <c r="P21" s="14" t="s">
        <v>120</v>
      </c>
    </row>
    <row r="22" spans="1:16" ht="15" customHeight="1" x14ac:dyDescent="0.2">
      <c r="A22" s="14" t="s">
        <v>60</v>
      </c>
      <c r="B22" s="14" t="s">
        <v>52</v>
      </c>
      <c r="C22" s="14" t="s">
        <v>109</v>
      </c>
      <c r="D22" s="14">
        <v>1</v>
      </c>
      <c r="E22" s="14"/>
      <c r="F22" s="14">
        <v>90</v>
      </c>
      <c r="G22" s="14">
        <v>57</v>
      </c>
      <c r="H22" s="14">
        <v>30</v>
      </c>
      <c r="I22" s="14">
        <v>5</v>
      </c>
      <c r="J22" s="14">
        <v>65</v>
      </c>
      <c r="K22" s="14">
        <v>78</v>
      </c>
      <c r="L22" s="14">
        <f t="shared" si="0"/>
        <v>54.166666666666664</v>
      </c>
      <c r="M22" s="14">
        <v>1</v>
      </c>
      <c r="N22" s="14">
        <v>2</v>
      </c>
      <c r="O22" s="14"/>
      <c r="P22" s="14" t="s">
        <v>121</v>
      </c>
    </row>
    <row r="23" spans="1:16" ht="15" customHeight="1" x14ac:dyDescent="0.2">
      <c r="A23" s="13" t="s">
        <v>64</v>
      </c>
      <c r="B23" s="13" t="s">
        <v>44</v>
      </c>
      <c r="C23" s="13" t="s">
        <v>107</v>
      </c>
      <c r="D23" s="13">
        <v>1</v>
      </c>
      <c r="E23" s="13"/>
      <c r="F23" s="13">
        <v>30</v>
      </c>
      <c r="G23" s="13">
        <v>20</v>
      </c>
      <c r="H23" s="13">
        <v>20</v>
      </c>
      <c r="I23" s="13">
        <v>30</v>
      </c>
      <c r="J23" s="13">
        <v>70</v>
      </c>
      <c r="K23" s="13">
        <v>50</v>
      </c>
      <c r="L23" s="13">
        <f t="shared" si="0"/>
        <v>36.666666666666664</v>
      </c>
      <c r="M23" s="13">
        <v>7</v>
      </c>
      <c r="N23" s="13">
        <v>5</v>
      </c>
      <c r="O23" s="13"/>
      <c r="P23" s="13" t="s">
        <v>113</v>
      </c>
    </row>
    <row r="24" spans="1:16" ht="15" customHeight="1" x14ac:dyDescent="0.2">
      <c r="A24" s="13" t="s">
        <v>64</v>
      </c>
      <c r="B24" s="13" t="s">
        <v>44</v>
      </c>
      <c r="C24" s="13" t="s">
        <v>108</v>
      </c>
      <c r="D24" s="13">
        <v>1</v>
      </c>
      <c r="E24" s="13"/>
      <c r="F24" s="13">
        <v>40</v>
      </c>
      <c r="G24" s="13">
        <v>20</v>
      </c>
      <c r="H24" s="13">
        <v>20</v>
      </c>
      <c r="I24" s="13">
        <v>50</v>
      </c>
      <c r="J24" s="13">
        <v>70</v>
      </c>
      <c r="K24" s="13">
        <v>50</v>
      </c>
      <c r="L24" s="13">
        <f t="shared" si="0"/>
        <v>41.666666666666664</v>
      </c>
      <c r="M24" s="13">
        <v>6</v>
      </c>
      <c r="N24" s="13">
        <v>4</v>
      </c>
      <c r="O24" s="13"/>
      <c r="P24" s="13" t="s">
        <v>113</v>
      </c>
    </row>
    <row r="25" spans="1:16" ht="15" customHeight="1" x14ac:dyDescent="0.2">
      <c r="A25" s="13" t="s">
        <v>64</v>
      </c>
      <c r="B25" s="13" t="s">
        <v>44</v>
      </c>
      <c r="C25" s="13" t="s">
        <v>109</v>
      </c>
      <c r="D25" s="13">
        <v>1</v>
      </c>
      <c r="E25" s="13"/>
      <c r="F25" s="13">
        <v>60</v>
      </c>
      <c r="G25" s="13">
        <v>40</v>
      </c>
      <c r="H25" s="13">
        <v>20</v>
      </c>
      <c r="I25" s="13">
        <v>50</v>
      </c>
      <c r="J25" s="13">
        <v>80</v>
      </c>
      <c r="K25" s="13">
        <v>70</v>
      </c>
      <c r="L25" s="13">
        <f t="shared" si="0"/>
        <v>53.333333333333336</v>
      </c>
      <c r="M25" s="13">
        <v>4</v>
      </c>
      <c r="N25" s="13">
        <v>4</v>
      </c>
      <c r="O25" s="13"/>
      <c r="P25" s="13" t="s">
        <v>122</v>
      </c>
    </row>
    <row r="26" spans="1:16" ht="15" customHeight="1" x14ac:dyDescent="0.2">
      <c r="A26" s="14" t="s">
        <v>67</v>
      </c>
      <c r="B26" s="14" t="s">
        <v>44</v>
      </c>
      <c r="C26" s="14" t="s">
        <v>109</v>
      </c>
      <c r="D26" s="14">
        <v>1</v>
      </c>
      <c r="E26" s="14"/>
      <c r="F26" s="14">
        <v>20</v>
      </c>
      <c r="G26" s="14">
        <v>0</v>
      </c>
      <c r="H26" s="14">
        <v>5</v>
      </c>
      <c r="I26" s="14">
        <v>20</v>
      </c>
      <c r="J26" s="14">
        <v>20</v>
      </c>
      <c r="K26" s="14">
        <v>10</v>
      </c>
      <c r="L26" s="14">
        <f t="shared" si="0"/>
        <v>12.5</v>
      </c>
      <c r="M26" s="14">
        <v>2</v>
      </c>
      <c r="N26" s="14">
        <v>2</v>
      </c>
      <c r="O26" s="14"/>
      <c r="P26" s="14" t="s">
        <v>113</v>
      </c>
    </row>
    <row r="27" spans="1:16" ht="15" customHeight="1" x14ac:dyDescent="0.2">
      <c r="A27" s="14" t="s">
        <v>67</v>
      </c>
      <c r="B27" s="14" t="s">
        <v>44</v>
      </c>
      <c r="C27" s="14" t="s">
        <v>108</v>
      </c>
      <c r="D27" s="14">
        <v>1</v>
      </c>
      <c r="E27" s="14"/>
      <c r="F27" s="14">
        <v>15</v>
      </c>
      <c r="G27" s="14">
        <v>0</v>
      </c>
      <c r="H27" s="14">
        <v>5</v>
      </c>
      <c r="I27" s="14">
        <v>10</v>
      </c>
      <c r="J27" s="14">
        <v>20</v>
      </c>
      <c r="K27" s="14">
        <v>10</v>
      </c>
      <c r="L27" s="14">
        <f t="shared" si="0"/>
        <v>10</v>
      </c>
      <c r="M27" s="14">
        <v>6</v>
      </c>
      <c r="N27" s="14">
        <v>3</v>
      </c>
      <c r="O27" s="14"/>
      <c r="P27" s="14" t="s">
        <v>123</v>
      </c>
    </row>
    <row r="28" spans="1:16" ht="15" customHeight="1" x14ac:dyDescent="0.2">
      <c r="A28" s="14" t="s">
        <v>67</v>
      </c>
      <c r="B28" s="14" t="s">
        <v>44</v>
      </c>
      <c r="C28" s="14" t="s">
        <v>107</v>
      </c>
      <c r="D28" s="14">
        <v>1</v>
      </c>
      <c r="E28" s="14"/>
      <c r="F28" s="14">
        <v>15</v>
      </c>
      <c r="G28" s="14">
        <v>0</v>
      </c>
      <c r="H28" s="14">
        <v>5</v>
      </c>
      <c r="I28" s="14">
        <v>10</v>
      </c>
      <c r="J28" s="14">
        <v>20</v>
      </c>
      <c r="K28" s="14">
        <v>10</v>
      </c>
      <c r="L28" s="14">
        <f t="shared" si="0"/>
        <v>10</v>
      </c>
      <c r="M28" s="14">
        <v>3</v>
      </c>
      <c r="N28" s="14">
        <v>3</v>
      </c>
      <c r="O28" s="14"/>
      <c r="P28" s="14" t="s">
        <v>124</v>
      </c>
    </row>
    <row r="29" spans="1:16" ht="15" customHeight="1" x14ac:dyDescent="0.2">
      <c r="A29" s="13" t="s">
        <v>70</v>
      </c>
      <c r="B29" s="13" t="s">
        <v>50</v>
      </c>
      <c r="C29" s="13" t="s">
        <v>109</v>
      </c>
      <c r="D29" s="13">
        <v>1</v>
      </c>
      <c r="E29" s="13"/>
      <c r="F29" s="13">
        <v>70</v>
      </c>
      <c r="G29" s="13">
        <v>0</v>
      </c>
      <c r="H29" s="13">
        <v>0</v>
      </c>
      <c r="I29" s="13">
        <v>40</v>
      </c>
      <c r="J29" s="13">
        <v>40</v>
      </c>
      <c r="K29" s="13">
        <v>20</v>
      </c>
      <c r="L29" s="13">
        <f t="shared" si="0"/>
        <v>28.333333333333332</v>
      </c>
      <c r="M29" s="13">
        <v>2</v>
      </c>
      <c r="N29" s="13">
        <v>0</v>
      </c>
      <c r="O29" s="13"/>
      <c r="P29" s="13" t="s">
        <v>125</v>
      </c>
    </row>
    <row r="30" spans="1:16" ht="15" customHeight="1" x14ac:dyDescent="0.2">
      <c r="A30" s="13" t="s">
        <v>70</v>
      </c>
      <c r="B30" s="13" t="s">
        <v>50</v>
      </c>
      <c r="C30" s="13" t="s">
        <v>108</v>
      </c>
      <c r="D30" s="13">
        <v>1</v>
      </c>
      <c r="E30" s="13"/>
      <c r="F30" s="13">
        <v>40</v>
      </c>
      <c r="G30" s="13">
        <v>0</v>
      </c>
      <c r="H30" s="13">
        <v>0</v>
      </c>
      <c r="I30" s="13">
        <v>20</v>
      </c>
      <c r="J30" s="13">
        <v>40</v>
      </c>
      <c r="K30" s="13">
        <v>10</v>
      </c>
      <c r="L30" s="13">
        <f t="shared" si="0"/>
        <v>18.333333333333332</v>
      </c>
      <c r="M30" s="13">
        <v>4</v>
      </c>
      <c r="N30" s="13">
        <v>0</v>
      </c>
      <c r="O30" s="13"/>
      <c r="P30" s="13" t="s">
        <v>126</v>
      </c>
    </row>
    <row r="31" spans="1:16" ht="15" customHeight="1" x14ac:dyDescent="0.2">
      <c r="A31" s="13" t="s">
        <v>70</v>
      </c>
      <c r="B31" s="13" t="s">
        <v>50</v>
      </c>
      <c r="C31" s="13" t="s">
        <v>107</v>
      </c>
      <c r="D31" s="13">
        <v>1</v>
      </c>
      <c r="E31" s="13"/>
      <c r="F31" s="13">
        <v>60</v>
      </c>
      <c r="G31" s="13">
        <v>0</v>
      </c>
      <c r="H31" s="13">
        <v>0</v>
      </c>
      <c r="I31" s="13">
        <v>25</v>
      </c>
      <c r="J31" s="13">
        <v>40</v>
      </c>
      <c r="K31" s="13">
        <v>10</v>
      </c>
      <c r="L31" s="13">
        <f t="shared" si="0"/>
        <v>22.5</v>
      </c>
      <c r="M31" s="13">
        <v>3</v>
      </c>
      <c r="N31" s="13">
        <v>0</v>
      </c>
      <c r="O31" s="13"/>
      <c r="P31" s="13" t="s">
        <v>127</v>
      </c>
    </row>
    <row r="32" spans="1:16" ht="15" customHeight="1" x14ac:dyDescent="0.2">
      <c r="A32" s="14" t="s">
        <v>71</v>
      </c>
      <c r="B32" s="14" t="s">
        <v>52</v>
      </c>
      <c r="C32" s="14" t="s">
        <v>109</v>
      </c>
      <c r="D32" s="14">
        <v>1</v>
      </c>
      <c r="E32" s="14"/>
      <c r="F32" s="14">
        <v>90</v>
      </c>
      <c r="G32" s="14">
        <v>5</v>
      </c>
      <c r="H32" s="14">
        <v>50</v>
      </c>
      <c r="I32" s="14">
        <v>90</v>
      </c>
      <c r="J32" s="14">
        <v>70</v>
      </c>
      <c r="K32" s="14">
        <v>80</v>
      </c>
      <c r="L32" s="14">
        <f t="shared" si="0"/>
        <v>64.166666666666671</v>
      </c>
      <c r="M32" s="14">
        <v>2</v>
      </c>
      <c r="N32" s="14">
        <v>2</v>
      </c>
      <c r="O32" s="14"/>
      <c r="P32" s="14" t="s">
        <v>128</v>
      </c>
    </row>
    <row r="33" spans="1:16" ht="15" customHeight="1" x14ac:dyDescent="0.2">
      <c r="A33" s="14" t="s">
        <v>71</v>
      </c>
      <c r="B33" s="14" t="s">
        <v>52</v>
      </c>
      <c r="C33" s="14" t="s">
        <v>108</v>
      </c>
      <c r="D33" s="14">
        <v>1</v>
      </c>
      <c r="E33" s="14"/>
      <c r="F33" s="14">
        <v>60</v>
      </c>
      <c r="G33" s="14">
        <v>10</v>
      </c>
      <c r="H33" s="14">
        <v>30</v>
      </c>
      <c r="I33" s="14">
        <v>35</v>
      </c>
      <c r="J33" s="14">
        <v>60</v>
      </c>
      <c r="K33" s="14">
        <v>35</v>
      </c>
      <c r="L33" s="14">
        <f t="shared" si="0"/>
        <v>38.333333333333336</v>
      </c>
      <c r="M33" s="14">
        <v>3</v>
      </c>
      <c r="N33" s="14">
        <v>2</v>
      </c>
      <c r="O33" s="14"/>
      <c r="P33" s="14" t="s">
        <v>129</v>
      </c>
    </row>
    <row r="34" spans="1:16" ht="15" customHeight="1" x14ac:dyDescent="0.2">
      <c r="A34" s="14" t="s">
        <v>71</v>
      </c>
      <c r="B34" s="14" t="s">
        <v>52</v>
      </c>
      <c r="C34" s="14" t="s">
        <v>107</v>
      </c>
      <c r="D34" s="14">
        <v>1</v>
      </c>
      <c r="E34" s="14"/>
      <c r="F34" s="14">
        <v>30</v>
      </c>
      <c r="G34" s="14">
        <v>10</v>
      </c>
      <c r="H34" s="14">
        <v>20</v>
      </c>
      <c r="I34" s="14">
        <v>20</v>
      </c>
      <c r="J34" s="14">
        <v>20</v>
      </c>
      <c r="K34" s="14">
        <v>10</v>
      </c>
      <c r="L34" s="14">
        <f t="shared" si="0"/>
        <v>18.333333333333332</v>
      </c>
      <c r="M34" s="14">
        <v>4</v>
      </c>
      <c r="N34" s="14">
        <v>2</v>
      </c>
      <c r="O34" s="14"/>
      <c r="P34" s="14" t="s">
        <v>113</v>
      </c>
    </row>
    <row r="35" spans="1:16" ht="15" customHeight="1" x14ac:dyDescent="0.2">
      <c r="A35" s="13" t="s">
        <v>72</v>
      </c>
      <c r="B35" s="13" t="s">
        <v>44</v>
      </c>
      <c r="C35" s="13" t="s">
        <v>108</v>
      </c>
      <c r="D35" s="13">
        <v>1</v>
      </c>
      <c r="E35" s="13"/>
      <c r="F35" s="13">
        <v>25</v>
      </c>
      <c r="G35" s="13">
        <v>8</v>
      </c>
      <c r="H35" s="13">
        <v>10</v>
      </c>
      <c r="I35" s="13">
        <v>25</v>
      </c>
      <c r="J35" s="13">
        <v>30</v>
      </c>
      <c r="K35" s="13">
        <v>30</v>
      </c>
      <c r="L35" s="13">
        <f t="shared" si="0"/>
        <v>21.333333333333332</v>
      </c>
      <c r="M35" s="13">
        <v>6</v>
      </c>
      <c r="N35" s="13">
        <v>5</v>
      </c>
      <c r="O35" s="13"/>
      <c r="P35" s="13" t="s">
        <v>130</v>
      </c>
    </row>
    <row r="36" spans="1:16" ht="15" customHeight="1" x14ac:dyDescent="0.2">
      <c r="A36" s="13" t="s">
        <v>72</v>
      </c>
      <c r="B36" s="13" t="s">
        <v>44</v>
      </c>
      <c r="C36" s="13" t="s">
        <v>109</v>
      </c>
      <c r="D36" s="13">
        <v>1</v>
      </c>
      <c r="E36" s="13"/>
      <c r="F36" s="13">
        <v>40</v>
      </c>
      <c r="G36" s="13">
        <v>8</v>
      </c>
      <c r="H36" s="13">
        <v>10</v>
      </c>
      <c r="I36" s="13">
        <v>43</v>
      </c>
      <c r="J36" s="13">
        <v>45</v>
      </c>
      <c r="K36" s="13">
        <v>45</v>
      </c>
      <c r="L36" s="13">
        <f t="shared" si="0"/>
        <v>31.833333333333332</v>
      </c>
      <c r="M36" s="13">
        <v>4</v>
      </c>
      <c r="N36" s="13">
        <v>3</v>
      </c>
      <c r="O36" s="13"/>
      <c r="P36" s="13" t="s">
        <v>131</v>
      </c>
    </row>
    <row r="37" spans="1:16" ht="15" customHeight="1" x14ac:dyDescent="0.2">
      <c r="A37" s="13" t="s">
        <v>72</v>
      </c>
      <c r="B37" s="13" t="s">
        <v>44</v>
      </c>
      <c r="C37" s="13" t="s">
        <v>107</v>
      </c>
      <c r="D37" s="13">
        <v>1</v>
      </c>
      <c r="E37" s="13"/>
      <c r="F37" s="13">
        <v>30</v>
      </c>
      <c r="G37" s="13">
        <v>8</v>
      </c>
      <c r="H37" s="13">
        <v>10</v>
      </c>
      <c r="I37" s="13">
        <v>30</v>
      </c>
      <c r="J37" s="13">
        <v>35</v>
      </c>
      <c r="K37" s="13">
        <v>33</v>
      </c>
      <c r="L37" s="13">
        <f t="shared" ref="L37:L68" si="1">IF(COUNT(F37:K37)=6, AVERAGE(F37:K37), "")</f>
        <v>24.333333333333332</v>
      </c>
      <c r="M37" s="13">
        <v>7</v>
      </c>
      <c r="N37" s="13">
        <v>4</v>
      </c>
      <c r="O37" s="13"/>
      <c r="P37" s="13" t="s">
        <v>132</v>
      </c>
    </row>
    <row r="38" spans="1:16" ht="15" customHeight="1" x14ac:dyDescent="0.2">
      <c r="A38" s="14" t="s">
        <v>74</v>
      </c>
      <c r="B38" s="14" t="s">
        <v>50</v>
      </c>
      <c r="C38" s="14" t="s">
        <v>108</v>
      </c>
      <c r="D38" s="14">
        <v>1</v>
      </c>
      <c r="E38" s="14"/>
      <c r="F38" s="14">
        <v>30</v>
      </c>
      <c r="G38" s="14">
        <v>10</v>
      </c>
      <c r="H38" s="14">
        <v>5</v>
      </c>
      <c r="I38" s="14">
        <v>50</v>
      </c>
      <c r="J38" s="14">
        <v>50</v>
      </c>
      <c r="K38" s="14">
        <v>40</v>
      </c>
      <c r="L38" s="14">
        <f t="shared" si="1"/>
        <v>30.833333333333332</v>
      </c>
      <c r="M38" s="14">
        <v>6</v>
      </c>
      <c r="N38" s="14">
        <v>0</v>
      </c>
      <c r="O38" s="14"/>
      <c r="P38" s="14" t="s">
        <v>133</v>
      </c>
    </row>
    <row r="39" spans="1:16" ht="15" customHeight="1" x14ac:dyDescent="0.2">
      <c r="A39" s="14" t="s">
        <v>74</v>
      </c>
      <c r="B39" s="14" t="s">
        <v>50</v>
      </c>
      <c r="C39" s="14" t="s">
        <v>109</v>
      </c>
      <c r="D39" s="14">
        <v>1</v>
      </c>
      <c r="E39" s="14"/>
      <c r="F39" s="14">
        <v>60</v>
      </c>
      <c r="G39" s="14">
        <v>10</v>
      </c>
      <c r="H39" s="14">
        <v>5</v>
      </c>
      <c r="I39" s="14">
        <v>70</v>
      </c>
      <c r="J39" s="14">
        <v>80</v>
      </c>
      <c r="K39" s="14">
        <v>60</v>
      </c>
      <c r="L39" s="14">
        <f t="shared" si="1"/>
        <v>47.5</v>
      </c>
      <c r="M39" s="14">
        <v>4</v>
      </c>
      <c r="N39" s="14">
        <v>0</v>
      </c>
      <c r="O39" s="14"/>
      <c r="P39" s="14" t="s">
        <v>134</v>
      </c>
    </row>
    <row r="40" spans="1:16" ht="15" customHeight="1" x14ac:dyDescent="0.2">
      <c r="A40" s="14" t="s">
        <v>74</v>
      </c>
      <c r="B40" s="14" t="s">
        <v>50</v>
      </c>
      <c r="C40" s="14" t="s">
        <v>107</v>
      </c>
      <c r="D40" s="14">
        <v>1</v>
      </c>
      <c r="E40" s="14"/>
      <c r="F40" s="14">
        <v>35</v>
      </c>
      <c r="G40" s="14">
        <v>10</v>
      </c>
      <c r="H40" s="14">
        <v>5</v>
      </c>
      <c r="I40" s="14">
        <v>55</v>
      </c>
      <c r="J40" s="14">
        <v>55</v>
      </c>
      <c r="K40" s="14">
        <v>40</v>
      </c>
      <c r="L40" s="14">
        <f t="shared" si="1"/>
        <v>33.333333333333336</v>
      </c>
      <c r="M40" s="14">
        <v>5</v>
      </c>
      <c r="N40" s="14">
        <v>0</v>
      </c>
      <c r="O40" s="14"/>
      <c r="P40" s="14" t="s">
        <v>135</v>
      </c>
    </row>
    <row r="41" spans="1:16" ht="15" customHeight="1" x14ac:dyDescent="0.2">
      <c r="A41" s="13" t="s">
        <v>76</v>
      </c>
      <c r="B41" s="13" t="s">
        <v>52</v>
      </c>
      <c r="C41" s="13" t="s">
        <v>108</v>
      </c>
      <c r="D41" s="13">
        <v>1</v>
      </c>
      <c r="E41" s="13"/>
      <c r="F41" s="13">
        <v>30</v>
      </c>
      <c r="G41" s="13">
        <v>10</v>
      </c>
      <c r="H41" s="13">
        <v>10</v>
      </c>
      <c r="I41" s="13">
        <v>30</v>
      </c>
      <c r="J41" s="13">
        <v>40</v>
      </c>
      <c r="K41" s="13">
        <v>15</v>
      </c>
      <c r="L41" s="13">
        <f t="shared" si="1"/>
        <v>22.5</v>
      </c>
      <c r="M41" s="13">
        <v>6</v>
      </c>
      <c r="N41" s="13">
        <v>4</v>
      </c>
      <c r="O41" s="13"/>
      <c r="P41" s="13" t="s">
        <v>136</v>
      </c>
    </row>
    <row r="42" spans="1:16" ht="15" customHeight="1" x14ac:dyDescent="0.2">
      <c r="A42" s="13" t="s">
        <v>76</v>
      </c>
      <c r="B42" s="13" t="s">
        <v>52</v>
      </c>
      <c r="C42" s="13" t="s">
        <v>109</v>
      </c>
      <c r="D42" s="13">
        <v>1</v>
      </c>
      <c r="E42" s="13"/>
      <c r="F42" s="13">
        <v>50</v>
      </c>
      <c r="G42" s="13">
        <v>10</v>
      </c>
      <c r="H42" s="13">
        <v>10</v>
      </c>
      <c r="I42" s="13">
        <v>60</v>
      </c>
      <c r="J42" s="13">
        <v>60</v>
      </c>
      <c r="K42" s="13">
        <v>60</v>
      </c>
      <c r="L42" s="13">
        <f t="shared" si="1"/>
        <v>41.666666666666664</v>
      </c>
      <c r="M42" s="13">
        <v>3</v>
      </c>
      <c r="N42" s="13">
        <v>3</v>
      </c>
      <c r="O42" s="13"/>
      <c r="P42" s="13" t="s">
        <v>137</v>
      </c>
    </row>
    <row r="43" spans="1:16" ht="15" customHeight="1" x14ac:dyDescent="0.2">
      <c r="A43" s="13" t="s">
        <v>76</v>
      </c>
      <c r="B43" s="13" t="s">
        <v>52</v>
      </c>
      <c r="C43" s="13" t="s">
        <v>107</v>
      </c>
      <c r="D43" s="13">
        <v>1</v>
      </c>
      <c r="E43" s="13"/>
      <c r="F43" s="13">
        <v>35</v>
      </c>
      <c r="G43" s="13">
        <v>10</v>
      </c>
      <c r="H43" s="13">
        <v>10</v>
      </c>
      <c r="I43" s="13">
        <v>40</v>
      </c>
      <c r="J43" s="13">
        <v>55</v>
      </c>
      <c r="K43" s="13">
        <v>25</v>
      </c>
      <c r="L43" s="13">
        <f t="shared" si="1"/>
        <v>29.166666666666668</v>
      </c>
      <c r="M43" s="13">
        <v>7</v>
      </c>
      <c r="N43" s="13">
        <v>3</v>
      </c>
      <c r="O43" s="13"/>
      <c r="P43" s="13" t="s">
        <v>113</v>
      </c>
    </row>
    <row r="44" spans="1:16" ht="15" customHeight="1" x14ac:dyDescent="0.2">
      <c r="A44" s="14" t="s">
        <v>77</v>
      </c>
      <c r="B44" s="14" t="s">
        <v>44</v>
      </c>
      <c r="C44" s="14" t="s">
        <v>108</v>
      </c>
      <c r="D44" s="14">
        <v>1</v>
      </c>
      <c r="E44" s="14"/>
      <c r="F44" s="14">
        <v>70</v>
      </c>
      <c r="G44" s="14">
        <v>80</v>
      </c>
      <c r="H44" s="14">
        <v>70</v>
      </c>
      <c r="I44" s="14">
        <v>5</v>
      </c>
      <c r="J44" s="14">
        <v>90</v>
      </c>
      <c r="K44" s="14">
        <v>40</v>
      </c>
      <c r="L44" s="14">
        <f t="shared" si="1"/>
        <v>59.166666666666664</v>
      </c>
      <c r="M44" s="14">
        <v>4</v>
      </c>
      <c r="N44" s="14">
        <v>4</v>
      </c>
      <c r="O44" s="14"/>
      <c r="P44" s="14" t="s">
        <v>138</v>
      </c>
    </row>
    <row r="45" spans="1:16" ht="15" customHeight="1" x14ac:dyDescent="0.2">
      <c r="A45" s="14" t="s">
        <v>77</v>
      </c>
      <c r="B45" s="14" t="s">
        <v>44</v>
      </c>
      <c r="C45" s="14" t="s">
        <v>109</v>
      </c>
      <c r="D45" s="14">
        <v>1</v>
      </c>
      <c r="E45" s="14"/>
      <c r="F45" s="14">
        <v>40</v>
      </c>
      <c r="G45" s="14">
        <v>30</v>
      </c>
      <c r="H45" s="14">
        <v>40</v>
      </c>
      <c r="I45" s="14">
        <v>0</v>
      </c>
      <c r="J45" s="14">
        <v>70</v>
      </c>
      <c r="K45" s="14">
        <v>20</v>
      </c>
      <c r="L45" s="14">
        <f t="shared" si="1"/>
        <v>33.333333333333336</v>
      </c>
      <c r="M45" s="14">
        <v>2</v>
      </c>
      <c r="N45" s="14">
        <v>4</v>
      </c>
      <c r="O45" s="14"/>
      <c r="P45" s="14" t="s">
        <v>130</v>
      </c>
    </row>
    <row r="46" spans="1:16" ht="15" customHeight="1" x14ac:dyDescent="0.2">
      <c r="A46" s="14" t="s">
        <v>77</v>
      </c>
      <c r="B46" s="14" t="s">
        <v>44</v>
      </c>
      <c r="C46" s="14" t="s">
        <v>107</v>
      </c>
      <c r="D46" s="14">
        <v>1</v>
      </c>
      <c r="E46" s="14"/>
      <c r="F46" s="14">
        <v>20</v>
      </c>
      <c r="G46" s="14">
        <v>10</v>
      </c>
      <c r="H46" s="14">
        <v>20</v>
      </c>
      <c r="I46" s="14">
        <v>20</v>
      </c>
      <c r="J46" s="14">
        <v>80</v>
      </c>
      <c r="K46" s="14">
        <v>20</v>
      </c>
      <c r="L46" s="14">
        <f t="shared" si="1"/>
        <v>28.333333333333332</v>
      </c>
      <c r="M46" s="14">
        <v>5</v>
      </c>
      <c r="N46" s="14">
        <v>4</v>
      </c>
      <c r="O46" s="14"/>
      <c r="P46" s="14" t="s">
        <v>123</v>
      </c>
    </row>
    <row r="47" spans="1:16" ht="15" customHeight="1" x14ac:dyDescent="0.2">
      <c r="A47" s="13" t="s">
        <v>78</v>
      </c>
      <c r="B47" s="13" t="s">
        <v>50</v>
      </c>
      <c r="C47" s="13" t="s">
        <v>109</v>
      </c>
      <c r="D47" s="13">
        <v>1</v>
      </c>
      <c r="E47" s="13"/>
      <c r="F47" s="13">
        <v>70</v>
      </c>
      <c r="G47" s="13">
        <v>20</v>
      </c>
      <c r="H47" s="13">
        <v>5</v>
      </c>
      <c r="I47" s="13">
        <v>40</v>
      </c>
      <c r="J47" s="13">
        <v>70</v>
      </c>
      <c r="K47" s="13">
        <v>40</v>
      </c>
      <c r="L47" s="13">
        <f t="shared" si="1"/>
        <v>40.833333333333336</v>
      </c>
      <c r="M47" s="13">
        <v>2</v>
      </c>
      <c r="N47" s="13">
        <v>0</v>
      </c>
      <c r="O47" s="13"/>
      <c r="P47" s="13" t="s">
        <v>139</v>
      </c>
    </row>
    <row r="48" spans="1:16" ht="15" customHeight="1" x14ac:dyDescent="0.2">
      <c r="A48" s="13" t="s">
        <v>78</v>
      </c>
      <c r="B48" s="13" t="s">
        <v>50</v>
      </c>
      <c r="C48" s="13" t="s">
        <v>108</v>
      </c>
      <c r="D48" s="13">
        <v>1</v>
      </c>
      <c r="E48" s="13"/>
      <c r="F48" s="13">
        <v>75</v>
      </c>
      <c r="G48" s="13">
        <v>20</v>
      </c>
      <c r="H48" s="13">
        <v>5</v>
      </c>
      <c r="I48" s="13">
        <v>60</v>
      </c>
      <c r="J48" s="13">
        <v>70</v>
      </c>
      <c r="K48" s="13">
        <v>50</v>
      </c>
      <c r="L48" s="13">
        <f t="shared" si="1"/>
        <v>46.666666666666664</v>
      </c>
      <c r="M48" s="13">
        <v>1</v>
      </c>
      <c r="N48" s="13">
        <v>0</v>
      </c>
      <c r="O48" s="13"/>
      <c r="P48" s="13" t="s">
        <v>140</v>
      </c>
    </row>
    <row r="49" spans="1:16" ht="15" customHeight="1" x14ac:dyDescent="0.2">
      <c r="A49" s="13" t="s">
        <v>78</v>
      </c>
      <c r="B49" s="13" t="s">
        <v>50</v>
      </c>
      <c r="C49" s="13" t="s">
        <v>107</v>
      </c>
      <c r="D49" s="13">
        <v>1</v>
      </c>
      <c r="E49" s="13"/>
      <c r="F49" s="13">
        <v>75</v>
      </c>
      <c r="G49" s="13">
        <v>20</v>
      </c>
      <c r="H49" s="13">
        <v>5</v>
      </c>
      <c r="I49" s="13">
        <v>60</v>
      </c>
      <c r="J49" s="13">
        <v>70</v>
      </c>
      <c r="K49" s="13">
        <v>70</v>
      </c>
      <c r="L49" s="13">
        <f t="shared" si="1"/>
        <v>50</v>
      </c>
      <c r="M49" s="13">
        <v>1</v>
      </c>
      <c r="N49" s="13">
        <v>0</v>
      </c>
      <c r="O49" s="13"/>
      <c r="P49" s="13" t="s">
        <v>141</v>
      </c>
    </row>
    <row r="50" spans="1:16" ht="15" customHeight="1" x14ac:dyDescent="0.2">
      <c r="A50" s="14" t="s">
        <v>80</v>
      </c>
      <c r="B50" s="14" t="s">
        <v>44</v>
      </c>
      <c r="C50" s="14" t="s">
        <v>108</v>
      </c>
      <c r="D50" s="14">
        <v>1</v>
      </c>
      <c r="E50" s="14"/>
      <c r="F50" s="14">
        <v>70</v>
      </c>
      <c r="G50" s="14">
        <v>75</v>
      </c>
      <c r="H50" s="14">
        <v>80</v>
      </c>
      <c r="I50" s="14">
        <v>35</v>
      </c>
      <c r="J50" s="14">
        <v>75</v>
      </c>
      <c r="K50" s="14">
        <v>65</v>
      </c>
      <c r="L50" s="14">
        <f t="shared" si="1"/>
        <v>66.666666666666671</v>
      </c>
      <c r="M50" s="14">
        <v>5</v>
      </c>
      <c r="N50" s="14">
        <v>4</v>
      </c>
      <c r="O50" s="14"/>
      <c r="P50" s="14" t="s">
        <v>142</v>
      </c>
    </row>
    <row r="51" spans="1:16" ht="15" customHeight="1" x14ac:dyDescent="0.2">
      <c r="A51" s="14" t="s">
        <v>80</v>
      </c>
      <c r="B51" s="14" t="s">
        <v>44</v>
      </c>
      <c r="C51" s="14" t="s">
        <v>109</v>
      </c>
      <c r="D51" s="14">
        <v>1</v>
      </c>
      <c r="E51" s="14"/>
      <c r="F51" s="14">
        <v>75</v>
      </c>
      <c r="G51" s="14">
        <v>70</v>
      </c>
      <c r="H51" s="14">
        <v>60</v>
      </c>
      <c r="I51" s="14">
        <v>20</v>
      </c>
      <c r="J51" s="14">
        <v>70</v>
      </c>
      <c r="K51" s="14">
        <v>75</v>
      </c>
      <c r="L51" s="14">
        <f t="shared" si="1"/>
        <v>61.666666666666664</v>
      </c>
      <c r="M51" s="14">
        <v>4</v>
      </c>
      <c r="N51" s="14">
        <v>4</v>
      </c>
      <c r="O51" s="14"/>
      <c r="P51" s="14" t="s">
        <v>143</v>
      </c>
    </row>
    <row r="52" spans="1:16" ht="15" customHeight="1" x14ac:dyDescent="0.2">
      <c r="A52" s="14" t="s">
        <v>80</v>
      </c>
      <c r="B52" s="14" t="s">
        <v>44</v>
      </c>
      <c r="C52" s="14" t="s">
        <v>107</v>
      </c>
      <c r="D52" s="14">
        <v>1</v>
      </c>
      <c r="E52" s="14"/>
      <c r="F52" s="14">
        <v>65</v>
      </c>
      <c r="G52" s="14">
        <v>65</v>
      </c>
      <c r="H52" s="14">
        <v>60</v>
      </c>
      <c r="I52" s="14">
        <v>40</v>
      </c>
      <c r="J52" s="14">
        <v>70</v>
      </c>
      <c r="K52" s="14">
        <v>60</v>
      </c>
      <c r="L52" s="14">
        <f t="shared" si="1"/>
        <v>60</v>
      </c>
      <c r="M52" s="14">
        <v>6</v>
      </c>
      <c r="N52" s="14">
        <v>4</v>
      </c>
      <c r="O52" s="14"/>
      <c r="P52" s="14" t="s">
        <v>144</v>
      </c>
    </row>
    <row r="53" spans="1:16" ht="15" customHeight="1" x14ac:dyDescent="0.2">
      <c r="A53" s="13" t="s">
        <v>83</v>
      </c>
      <c r="B53" s="13" t="s">
        <v>50</v>
      </c>
      <c r="C53" s="13" t="s">
        <v>108</v>
      </c>
      <c r="D53" s="13">
        <v>1</v>
      </c>
      <c r="E53" s="13"/>
      <c r="F53" s="13">
        <v>80</v>
      </c>
      <c r="G53" s="13">
        <v>60</v>
      </c>
      <c r="H53" s="13">
        <v>75</v>
      </c>
      <c r="I53" s="13">
        <v>30</v>
      </c>
      <c r="J53" s="13">
        <v>70</v>
      </c>
      <c r="K53" s="13">
        <v>75</v>
      </c>
      <c r="L53" s="13">
        <f t="shared" si="1"/>
        <v>65</v>
      </c>
      <c r="M53" s="13">
        <v>5</v>
      </c>
      <c r="N53" s="13">
        <v>0</v>
      </c>
      <c r="O53" s="13"/>
      <c r="P53" s="13" t="s">
        <v>145</v>
      </c>
    </row>
    <row r="54" spans="1:16" ht="15" customHeight="1" x14ac:dyDescent="0.2">
      <c r="A54" s="13" t="s">
        <v>83</v>
      </c>
      <c r="B54" s="13" t="s">
        <v>50</v>
      </c>
      <c r="C54" s="13" t="s">
        <v>109</v>
      </c>
      <c r="D54" s="13">
        <v>1</v>
      </c>
      <c r="E54" s="13"/>
      <c r="F54" s="13">
        <v>90</v>
      </c>
      <c r="G54" s="13">
        <v>65</v>
      </c>
      <c r="H54" s="13">
        <v>70</v>
      </c>
      <c r="I54" s="13">
        <v>45</v>
      </c>
      <c r="J54" s="13">
        <v>80</v>
      </c>
      <c r="K54" s="13">
        <v>85</v>
      </c>
      <c r="L54" s="13">
        <f t="shared" si="1"/>
        <v>72.5</v>
      </c>
      <c r="M54" s="13">
        <v>4</v>
      </c>
      <c r="N54" s="13">
        <v>0</v>
      </c>
      <c r="O54" s="13"/>
      <c r="P54" s="13" t="s">
        <v>146</v>
      </c>
    </row>
    <row r="55" spans="1:16" ht="15" customHeight="1" x14ac:dyDescent="0.2">
      <c r="A55" s="13" t="s">
        <v>83</v>
      </c>
      <c r="B55" s="13" t="s">
        <v>50</v>
      </c>
      <c r="C55" s="13" t="s">
        <v>107</v>
      </c>
      <c r="D55" s="13">
        <v>1</v>
      </c>
      <c r="E55" s="13"/>
      <c r="F55" s="13">
        <v>75</v>
      </c>
      <c r="G55" s="13">
        <v>60</v>
      </c>
      <c r="H55" s="13">
        <v>60</v>
      </c>
      <c r="I55" s="13">
        <v>25</v>
      </c>
      <c r="J55" s="13">
        <v>70</v>
      </c>
      <c r="K55" s="13">
        <v>65</v>
      </c>
      <c r="L55" s="13">
        <f t="shared" si="1"/>
        <v>59.166666666666664</v>
      </c>
      <c r="M55" s="13">
        <v>5</v>
      </c>
      <c r="N55" s="13">
        <v>0</v>
      </c>
      <c r="O55" s="13"/>
      <c r="P55" s="13" t="s">
        <v>147</v>
      </c>
    </row>
    <row r="56" spans="1:16" ht="15" customHeight="1" x14ac:dyDescent="0.2">
      <c r="A56" s="14" t="s">
        <v>84</v>
      </c>
      <c r="B56" s="14" t="s">
        <v>52</v>
      </c>
      <c r="C56" s="14" t="s">
        <v>108</v>
      </c>
      <c r="D56" s="14">
        <v>1</v>
      </c>
      <c r="E56" s="14"/>
      <c r="F56" s="14">
        <v>80</v>
      </c>
      <c r="G56" s="14">
        <v>70</v>
      </c>
      <c r="H56" s="14">
        <v>70</v>
      </c>
      <c r="I56" s="14">
        <v>30</v>
      </c>
      <c r="J56" s="14">
        <v>70</v>
      </c>
      <c r="K56" s="14">
        <v>75</v>
      </c>
      <c r="L56" s="14">
        <f t="shared" si="1"/>
        <v>65.833333333333329</v>
      </c>
      <c r="M56" s="14">
        <v>5</v>
      </c>
      <c r="N56" s="14">
        <v>4</v>
      </c>
      <c r="O56" s="14"/>
      <c r="P56" s="14"/>
    </row>
    <row r="57" spans="1:16" ht="15" customHeight="1" x14ac:dyDescent="0.2">
      <c r="A57" s="14" t="s">
        <v>84</v>
      </c>
      <c r="B57" s="14" t="s">
        <v>52</v>
      </c>
      <c r="C57" s="14" t="s">
        <v>109</v>
      </c>
      <c r="D57" s="14">
        <v>1</v>
      </c>
      <c r="E57" s="14"/>
      <c r="F57" s="14">
        <v>90</v>
      </c>
      <c r="G57" s="14">
        <v>80</v>
      </c>
      <c r="H57" s="14">
        <v>60</v>
      </c>
      <c r="I57" s="14">
        <v>50</v>
      </c>
      <c r="J57" s="14">
        <v>90</v>
      </c>
      <c r="K57" s="14">
        <v>95</v>
      </c>
      <c r="L57" s="14">
        <f t="shared" si="1"/>
        <v>77.5</v>
      </c>
      <c r="M57" s="14">
        <v>3</v>
      </c>
      <c r="N57" s="14">
        <v>4</v>
      </c>
      <c r="O57" s="14"/>
      <c r="P57" s="14" t="s">
        <v>148</v>
      </c>
    </row>
    <row r="58" spans="1:16" ht="15" customHeight="1" x14ac:dyDescent="0.2">
      <c r="A58" s="14" t="s">
        <v>84</v>
      </c>
      <c r="B58" s="14" t="s">
        <v>52</v>
      </c>
      <c r="C58" s="14" t="s">
        <v>107</v>
      </c>
      <c r="D58" s="14">
        <v>1</v>
      </c>
      <c r="E58" s="14"/>
      <c r="F58" s="14">
        <v>90</v>
      </c>
      <c r="G58" s="14">
        <v>80</v>
      </c>
      <c r="H58" s="14">
        <v>60</v>
      </c>
      <c r="I58" s="14">
        <v>60</v>
      </c>
      <c r="J58" s="14">
        <v>90</v>
      </c>
      <c r="K58" s="14">
        <v>90</v>
      </c>
      <c r="L58" s="14">
        <f t="shared" si="1"/>
        <v>78.333333333333329</v>
      </c>
      <c r="M58" s="14">
        <v>5</v>
      </c>
      <c r="N58" s="14">
        <v>4</v>
      </c>
      <c r="O58" s="14"/>
      <c r="P58" s="14"/>
    </row>
    <row r="59" spans="1:16" ht="15" customHeight="1" x14ac:dyDescent="0.2">
      <c r="A59" s="13" t="s">
        <v>85</v>
      </c>
      <c r="B59" s="13" t="s">
        <v>52</v>
      </c>
      <c r="C59" s="13" t="s">
        <v>109</v>
      </c>
      <c r="D59" s="13">
        <v>1</v>
      </c>
      <c r="E59" s="13"/>
      <c r="F59" s="13">
        <v>100</v>
      </c>
      <c r="G59" s="13">
        <v>10</v>
      </c>
      <c r="H59" s="13">
        <v>85</v>
      </c>
      <c r="I59" s="13">
        <v>55</v>
      </c>
      <c r="J59" s="13">
        <v>95</v>
      </c>
      <c r="K59" s="13">
        <v>75</v>
      </c>
      <c r="L59" s="13">
        <f t="shared" si="1"/>
        <v>70</v>
      </c>
      <c r="M59" s="13">
        <v>2</v>
      </c>
      <c r="N59" s="13">
        <v>4</v>
      </c>
      <c r="O59" s="13"/>
      <c r="P59" s="13" t="s">
        <v>149</v>
      </c>
    </row>
    <row r="60" spans="1:16" ht="15" customHeight="1" x14ac:dyDescent="0.2">
      <c r="A60" s="13" t="s">
        <v>85</v>
      </c>
      <c r="B60" s="13" t="s">
        <v>52</v>
      </c>
      <c r="C60" s="13" t="s">
        <v>108</v>
      </c>
      <c r="D60" s="13">
        <v>1</v>
      </c>
      <c r="E60" s="13"/>
      <c r="F60" s="13">
        <v>95</v>
      </c>
      <c r="G60" s="13">
        <v>10</v>
      </c>
      <c r="H60" s="13">
        <v>80</v>
      </c>
      <c r="I60" s="13">
        <v>40</v>
      </c>
      <c r="J60" s="13">
        <v>90</v>
      </c>
      <c r="K60" s="13">
        <v>50</v>
      </c>
      <c r="L60" s="13">
        <f t="shared" si="1"/>
        <v>60.833333333333336</v>
      </c>
      <c r="M60" s="13">
        <v>4</v>
      </c>
      <c r="N60" s="13">
        <v>4</v>
      </c>
      <c r="O60" s="13"/>
      <c r="P60" s="13"/>
    </row>
    <row r="61" spans="1:16" ht="15" customHeight="1" x14ac:dyDescent="0.2">
      <c r="A61" s="13" t="s">
        <v>85</v>
      </c>
      <c r="B61" s="13" t="s">
        <v>52</v>
      </c>
      <c r="C61" s="13" t="s">
        <v>107</v>
      </c>
      <c r="D61" s="13">
        <v>1</v>
      </c>
      <c r="E61" s="13"/>
      <c r="F61" s="13">
        <v>80</v>
      </c>
      <c r="G61" s="13">
        <v>10</v>
      </c>
      <c r="H61" s="13">
        <v>60</v>
      </c>
      <c r="I61" s="13">
        <v>30</v>
      </c>
      <c r="J61" s="13">
        <v>80</v>
      </c>
      <c r="K61" s="13">
        <v>30</v>
      </c>
      <c r="L61" s="13">
        <f t="shared" si="1"/>
        <v>48.333333333333336</v>
      </c>
      <c r="M61" s="13">
        <v>5</v>
      </c>
      <c r="N61" s="13">
        <v>4</v>
      </c>
      <c r="O61" s="13"/>
      <c r="P61" s="13"/>
    </row>
    <row r="62" spans="1:16" ht="15" customHeight="1" x14ac:dyDescent="0.2"/>
    <row r="63" spans="1:16" ht="15" customHeight="1" x14ac:dyDescent="0.2"/>
    <row r="64" spans="1:16" ht="15" customHeight="1" x14ac:dyDescent="0.2">
      <c r="A64" s="7" t="s">
        <v>150</v>
      </c>
      <c r="B64" s="7"/>
      <c r="C64" s="7"/>
      <c r="D64" s="7"/>
      <c r="E64" s="7"/>
      <c r="F64" s="7"/>
      <c r="G64" s="7"/>
      <c r="H64" s="7"/>
      <c r="I64" s="7"/>
      <c r="J64" s="7"/>
      <c r="K64" s="7"/>
      <c r="L64" s="7"/>
      <c r="M64" s="7"/>
      <c r="N64" s="7"/>
      <c r="O64" s="7"/>
      <c r="P64" s="7"/>
    </row>
    <row r="65" spans="1:16" ht="25.5" customHeight="1" x14ac:dyDescent="0.2">
      <c r="A65" s="4" t="s">
        <v>151</v>
      </c>
      <c r="B65" s="4"/>
      <c r="C65" s="3" t="s">
        <v>152</v>
      </c>
      <c r="D65" s="3"/>
      <c r="E65" s="3"/>
      <c r="F65" s="3"/>
      <c r="G65" s="3"/>
      <c r="H65" s="3"/>
      <c r="I65" s="3"/>
      <c r="J65" s="3"/>
      <c r="K65" s="3"/>
      <c r="L65" s="3"/>
      <c r="M65" s="3"/>
      <c r="N65" s="3"/>
      <c r="O65" s="3"/>
      <c r="P65" s="3"/>
    </row>
    <row r="66" spans="1:16" ht="25.5" customHeight="1" x14ac:dyDescent="0.2">
      <c r="A66" s="4" t="s">
        <v>153</v>
      </c>
      <c r="B66" s="4"/>
      <c r="C66" s="3" t="s">
        <v>154</v>
      </c>
      <c r="D66" s="3"/>
      <c r="E66" s="3"/>
      <c r="F66" s="3"/>
      <c r="G66" s="3"/>
      <c r="H66" s="3"/>
      <c r="I66" s="3"/>
      <c r="J66" s="3"/>
      <c r="K66" s="3"/>
      <c r="L66" s="3"/>
      <c r="M66" s="3"/>
      <c r="N66" s="3"/>
      <c r="O66" s="3"/>
      <c r="P66" s="3"/>
    </row>
    <row r="67" spans="1:16" ht="25.5" customHeight="1" x14ac:dyDescent="0.2">
      <c r="A67" s="4" t="s">
        <v>155</v>
      </c>
      <c r="B67" s="4"/>
      <c r="C67" s="3" t="s">
        <v>156</v>
      </c>
      <c r="D67" s="3"/>
      <c r="E67" s="3"/>
      <c r="F67" s="3"/>
      <c r="G67" s="3"/>
      <c r="H67" s="3"/>
      <c r="I67" s="3"/>
      <c r="J67" s="3"/>
      <c r="K67" s="3"/>
      <c r="L67" s="3"/>
      <c r="M67" s="3"/>
      <c r="N67" s="3"/>
      <c r="O67" s="3"/>
      <c r="P67" s="3"/>
    </row>
    <row r="68" spans="1:16" ht="25.5" customHeight="1" x14ac:dyDescent="0.2">
      <c r="A68" s="4" t="s">
        <v>157</v>
      </c>
      <c r="B68" s="4"/>
      <c r="C68" s="3" t="s">
        <v>158</v>
      </c>
      <c r="D68" s="3"/>
      <c r="E68" s="3"/>
      <c r="F68" s="3"/>
      <c r="G68" s="3"/>
      <c r="H68" s="3"/>
      <c r="I68" s="3"/>
      <c r="J68" s="3"/>
      <c r="K68" s="3"/>
      <c r="L68" s="3"/>
      <c r="M68" s="3"/>
      <c r="N68" s="3"/>
      <c r="O68" s="3"/>
      <c r="P68" s="3"/>
    </row>
    <row r="69" spans="1:16" ht="25.5" customHeight="1" x14ac:dyDescent="0.2">
      <c r="A69" s="4" t="s">
        <v>159</v>
      </c>
      <c r="B69" s="4"/>
      <c r="C69" s="3" t="s">
        <v>160</v>
      </c>
      <c r="D69" s="3"/>
      <c r="E69" s="3"/>
      <c r="F69" s="3"/>
      <c r="G69" s="3"/>
      <c r="H69" s="3"/>
      <c r="I69" s="3"/>
      <c r="J69" s="3"/>
      <c r="K69" s="3"/>
      <c r="L69" s="3"/>
      <c r="M69" s="3"/>
      <c r="N69" s="3"/>
      <c r="O69" s="3"/>
      <c r="P69" s="3"/>
    </row>
    <row r="70" spans="1:16" ht="25.5" customHeight="1" x14ac:dyDescent="0.2">
      <c r="A70" s="4" t="s">
        <v>161</v>
      </c>
      <c r="B70" s="4"/>
      <c r="C70" s="3" t="s">
        <v>162</v>
      </c>
      <c r="D70" s="3"/>
      <c r="E70" s="3"/>
      <c r="F70" s="3"/>
      <c r="G70" s="3"/>
      <c r="H70" s="3"/>
      <c r="I70" s="3"/>
      <c r="J70" s="3"/>
      <c r="K70" s="3"/>
      <c r="L70" s="3"/>
      <c r="M70" s="3"/>
      <c r="N70" s="3"/>
      <c r="O70" s="3"/>
      <c r="P70" s="3"/>
    </row>
    <row r="71" spans="1:16" ht="15" customHeight="1" x14ac:dyDescent="0.2"/>
    <row r="72" spans="1:16" ht="15" customHeight="1" x14ac:dyDescent="0.2">
      <c r="A72" s="2" t="s">
        <v>163</v>
      </c>
      <c r="B72" s="2"/>
      <c r="C72" s="2"/>
      <c r="D72" s="2"/>
      <c r="E72" s="2"/>
      <c r="F72" s="2"/>
      <c r="G72" s="2"/>
      <c r="H72" s="2"/>
      <c r="I72" s="2"/>
      <c r="J72" s="2"/>
      <c r="K72" s="2"/>
      <c r="L72" s="2"/>
      <c r="M72" s="2"/>
      <c r="N72" s="2"/>
      <c r="O72" s="2"/>
      <c r="P72" s="2"/>
    </row>
    <row r="73" spans="1:16" ht="15" customHeight="1" x14ac:dyDescent="0.2">
      <c r="A73" s="2"/>
      <c r="B73" s="2"/>
      <c r="C73" s="2"/>
      <c r="D73" s="2"/>
      <c r="E73" s="2"/>
      <c r="F73" s="2"/>
      <c r="G73" s="2"/>
      <c r="H73" s="2"/>
      <c r="I73" s="2"/>
      <c r="J73" s="2"/>
      <c r="K73" s="2"/>
      <c r="L73" s="2"/>
      <c r="M73" s="2"/>
      <c r="N73" s="2"/>
      <c r="O73" s="2"/>
      <c r="P73" s="2"/>
    </row>
    <row r="74" spans="1:16" ht="15" customHeight="1" x14ac:dyDescent="0.2"/>
    <row r="75" spans="1:16" ht="15" customHeight="1" x14ac:dyDescent="0.2"/>
    <row r="76" spans="1:16" ht="15" customHeight="1" x14ac:dyDescent="0.2"/>
    <row r="79" spans="1:16" ht="15" customHeight="1" x14ac:dyDescent="0.2">
      <c r="A79" s="1"/>
      <c r="B79" s="1"/>
      <c r="C79" s="1"/>
      <c r="D79" s="1"/>
      <c r="E79" s="1"/>
      <c r="F79" s="1"/>
      <c r="G79" s="1"/>
      <c r="H79" s="1"/>
      <c r="I79" s="1"/>
      <c r="J79" s="1"/>
      <c r="K79" s="1"/>
      <c r="L79" s="1"/>
      <c r="M79" s="1"/>
      <c r="N79" s="1"/>
      <c r="O79" s="1"/>
      <c r="P79" s="1"/>
    </row>
    <row r="80" spans="1:16" ht="25.5" customHeight="1" x14ac:dyDescent="0.2">
      <c r="A80" s="1"/>
      <c r="B80" s="1"/>
      <c r="C80" s="1"/>
      <c r="D80" s="1"/>
      <c r="E80" s="1"/>
      <c r="F80" s="1"/>
      <c r="G80" s="1"/>
      <c r="H80" s="1"/>
      <c r="I80" s="1"/>
      <c r="J80" s="1"/>
      <c r="K80" s="1"/>
      <c r="L80" s="1"/>
      <c r="M80" s="1"/>
      <c r="N80" s="1"/>
      <c r="O80" s="1"/>
      <c r="P80" s="1"/>
    </row>
    <row r="81" spans="1:16" ht="25.5" customHeight="1" x14ac:dyDescent="0.2">
      <c r="A81" s="1"/>
      <c r="B81" s="1"/>
      <c r="C81" s="1"/>
      <c r="D81" s="1"/>
      <c r="E81" s="1"/>
      <c r="F81" s="1"/>
      <c r="G81" s="1"/>
      <c r="H81" s="1"/>
      <c r="I81" s="1"/>
      <c r="J81" s="1"/>
      <c r="K81" s="1"/>
      <c r="L81" s="1"/>
      <c r="M81" s="1"/>
      <c r="N81" s="1"/>
      <c r="O81" s="1"/>
      <c r="P81" s="1"/>
    </row>
    <row r="82" spans="1:16" ht="25.5" customHeight="1" x14ac:dyDescent="0.2">
      <c r="A82" s="1"/>
      <c r="B82" s="1"/>
      <c r="C82" s="1"/>
      <c r="D82" s="1"/>
      <c r="E82" s="1"/>
      <c r="F82" s="1"/>
      <c r="G82" s="1"/>
      <c r="H82" s="1"/>
      <c r="I82" s="1"/>
      <c r="J82" s="1"/>
      <c r="K82" s="1"/>
      <c r="L82" s="1"/>
      <c r="M82" s="1"/>
      <c r="N82" s="1"/>
      <c r="O82" s="1"/>
      <c r="P82" s="1"/>
    </row>
    <row r="83" spans="1:16" ht="25.5" customHeight="1" x14ac:dyDescent="0.2">
      <c r="A83" s="1"/>
      <c r="B83" s="1"/>
      <c r="C83" s="1"/>
      <c r="D83" s="1"/>
      <c r="E83" s="1"/>
      <c r="F83" s="1"/>
      <c r="G83" s="1"/>
      <c r="H83" s="1"/>
      <c r="I83" s="1"/>
      <c r="J83" s="1"/>
      <c r="K83" s="1"/>
      <c r="L83" s="1"/>
      <c r="M83" s="1"/>
      <c r="N83" s="1"/>
      <c r="O83" s="1"/>
      <c r="P83" s="1"/>
    </row>
    <row r="84" spans="1:16" ht="25.5" customHeight="1" x14ac:dyDescent="0.2">
      <c r="A84" s="1"/>
      <c r="B84" s="1"/>
      <c r="C84" s="1"/>
      <c r="D84" s="1"/>
      <c r="E84" s="1"/>
      <c r="F84" s="1"/>
      <c r="G84" s="1"/>
      <c r="H84" s="1"/>
      <c r="I84" s="1"/>
      <c r="J84" s="1"/>
      <c r="K84" s="1"/>
      <c r="L84" s="1"/>
      <c r="M84" s="1"/>
      <c r="N84" s="1"/>
      <c r="O84" s="1"/>
      <c r="P84" s="1"/>
    </row>
    <row r="85" spans="1:16" ht="25.5" customHeight="1" x14ac:dyDescent="0.2">
      <c r="A85" s="1"/>
      <c r="B85" s="1"/>
      <c r="C85" s="1"/>
      <c r="D85" s="1"/>
      <c r="E85" s="1"/>
      <c r="F85" s="1"/>
      <c r="G85" s="1"/>
      <c r="H85" s="1"/>
      <c r="I85" s="1"/>
      <c r="J85" s="1"/>
      <c r="K85" s="1"/>
      <c r="L85" s="1"/>
      <c r="M85" s="1"/>
      <c r="N85" s="1"/>
      <c r="O85" s="1"/>
      <c r="P85" s="1"/>
    </row>
    <row r="87" spans="1:16" ht="15" customHeight="1" x14ac:dyDescent="0.2">
      <c r="A87" s="1"/>
      <c r="B87" s="1"/>
      <c r="C87" s="1"/>
      <c r="D87" s="1"/>
      <c r="E87" s="1"/>
      <c r="F87" s="1"/>
      <c r="G87" s="1"/>
      <c r="H87" s="1"/>
      <c r="I87" s="1"/>
      <c r="J87" s="1"/>
      <c r="K87" s="1"/>
      <c r="L87" s="1"/>
      <c r="M87" s="1"/>
      <c r="N87" s="1"/>
      <c r="O87" s="1"/>
      <c r="P87" s="1"/>
    </row>
    <row r="88" spans="1:16" ht="15" customHeight="1" x14ac:dyDescent="0.2">
      <c r="A88" s="1"/>
      <c r="B88" s="1"/>
      <c r="C88" s="1"/>
      <c r="D88" s="1"/>
      <c r="E88" s="1"/>
      <c r="F88" s="1"/>
      <c r="G88" s="1"/>
      <c r="H88" s="1"/>
      <c r="I88" s="1"/>
      <c r="J88" s="1"/>
      <c r="K88" s="1"/>
      <c r="L88" s="1"/>
      <c r="M88" s="1"/>
      <c r="N88" s="1"/>
      <c r="O88" s="1"/>
      <c r="P88" s="1"/>
    </row>
  </sheetData>
  <mergeCells count="30">
    <mergeCell ref="A85:B85"/>
    <mergeCell ref="C85:P85"/>
    <mergeCell ref="A87:P88"/>
    <mergeCell ref="A82:B82"/>
    <mergeCell ref="C82:P82"/>
    <mergeCell ref="A83:B83"/>
    <mergeCell ref="C83:P83"/>
    <mergeCell ref="A84:B84"/>
    <mergeCell ref="C84:P84"/>
    <mergeCell ref="A79:P79"/>
    <mergeCell ref="A80:B80"/>
    <mergeCell ref="C80:P80"/>
    <mergeCell ref="A81:B81"/>
    <mergeCell ref="C81:P81"/>
    <mergeCell ref="A69:B69"/>
    <mergeCell ref="C69:P69"/>
    <mergeCell ref="A70:B70"/>
    <mergeCell ref="C70:P70"/>
    <mergeCell ref="A72:P73"/>
    <mergeCell ref="A66:B66"/>
    <mergeCell ref="C66:P66"/>
    <mergeCell ref="A67:B67"/>
    <mergeCell ref="C67:P67"/>
    <mergeCell ref="A68:B68"/>
    <mergeCell ref="C68:P68"/>
    <mergeCell ref="A1:I1"/>
    <mergeCell ref="A2:P2"/>
    <mergeCell ref="A64:P64"/>
    <mergeCell ref="A65:B65"/>
    <mergeCell ref="C65:P65"/>
  </mergeCells>
  <dataValidations count="3">
    <dataValidation type="list" allowBlank="1" sqref="B5:B76" xr:uid="{00000000-0002-0000-0400-000000000000}">
      <formula1>"Navigation,Identification,Visual Search"</formula1>
      <formula2>0</formula2>
    </dataValidation>
    <dataValidation type="whole" allowBlank="1" sqref="E5:E76 M5:N76" xr:uid="{00000000-0002-0000-0400-000001000000}">
      <formula1>1</formula1>
      <formula2>7</formula2>
    </dataValidation>
    <dataValidation type="whole" allowBlank="1" sqref="F5:K76" xr:uid="{00000000-0002-0000-0400-000002000000}">
      <formula1>0</formula1>
      <formula2>100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zoomScaleNormal="100" workbookViewId="0">
      <pane ySplit="4" topLeftCell="A5" activePane="bottomLeft" state="frozen"/>
      <selection pane="bottomLeft" activeCell="B28" sqref="B28"/>
    </sheetView>
  </sheetViews>
  <sheetFormatPr baseColWidth="10" defaultColWidth="8.6640625" defaultRowHeight="15" x14ac:dyDescent="0.2"/>
  <cols>
    <col min="1" max="1" width="14" customWidth="1"/>
    <col min="2" max="5" width="15" customWidth="1"/>
    <col min="6" max="7" width="40" customWidth="1"/>
    <col min="8" max="8" width="12" customWidth="1"/>
  </cols>
  <sheetData>
    <row r="1" spans="1:8" ht="24" customHeight="1" x14ac:dyDescent="0.2">
      <c r="A1" s="9" t="s">
        <v>164</v>
      </c>
      <c r="B1" s="9"/>
      <c r="C1" s="9"/>
      <c r="D1" s="9"/>
      <c r="E1" s="9"/>
      <c r="F1" s="9"/>
      <c r="G1" s="9"/>
      <c r="H1" s="9"/>
    </row>
    <row r="2" spans="1:8" ht="30" customHeight="1" x14ac:dyDescent="0.2">
      <c r="A2" s="8" t="s">
        <v>165</v>
      </c>
      <c r="B2" s="8"/>
      <c r="C2" s="8"/>
      <c r="D2" s="8"/>
      <c r="E2" s="8"/>
      <c r="F2" s="8"/>
      <c r="G2" s="8"/>
      <c r="H2" s="8"/>
    </row>
    <row r="4" spans="1:8" ht="31.5" customHeight="1" x14ac:dyDescent="0.2">
      <c r="A4" s="16" t="s">
        <v>33</v>
      </c>
      <c r="B4" s="16" t="s">
        <v>34</v>
      </c>
      <c r="C4" s="16" t="s">
        <v>166</v>
      </c>
      <c r="D4" s="16" t="s">
        <v>167</v>
      </c>
      <c r="E4" s="16" t="s">
        <v>168</v>
      </c>
      <c r="F4" s="16" t="s">
        <v>169</v>
      </c>
      <c r="G4" s="16" t="s">
        <v>170</v>
      </c>
      <c r="H4" s="16" t="s">
        <v>171</v>
      </c>
    </row>
    <row r="5" spans="1:8" ht="15" customHeight="1" x14ac:dyDescent="0.2">
      <c r="A5" s="17" t="s">
        <v>43</v>
      </c>
      <c r="B5" s="17" t="s">
        <v>44</v>
      </c>
      <c r="C5" s="17"/>
      <c r="D5" s="17"/>
      <c r="E5" s="17"/>
      <c r="F5" s="17"/>
      <c r="G5" s="17"/>
      <c r="H5" s="17"/>
    </row>
    <row r="6" spans="1:8" ht="15" customHeight="1" x14ac:dyDescent="0.2">
      <c r="A6" s="17" t="s">
        <v>49</v>
      </c>
      <c r="B6" s="17" t="s">
        <v>50</v>
      </c>
      <c r="C6" s="17"/>
      <c r="D6" s="17"/>
      <c r="E6" s="17"/>
      <c r="F6" s="17"/>
      <c r="G6" s="17"/>
      <c r="H6" s="17"/>
    </row>
    <row r="7" spans="1:8" ht="15" customHeight="1" x14ac:dyDescent="0.2">
      <c r="A7" s="17" t="s">
        <v>51</v>
      </c>
      <c r="B7" s="17" t="s">
        <v>52</v>
      </c>
      <c r="C7" s="17"/>
      <c r="D7" s="17"/>
      <c r="E7" s="17"/>
      <c r="F7" s="17"/>
      <c r="G7" s="17"/>
      <c r="H7" s="17"/>
    </row>
    <row r="8" spans="1:8" ht="15" customHeight="1" x14ac:dyDescent="0.2">
      <c r="A8" s="14" t="s">
        <v>53</v>
      </c>
      <c r="B8" s="14" t="s">
        <v>44</v>
      </c>
      <c r="C8" s="14">
        <v>1</v>
      </c>
      <c r="D8" s="14">
        <v>2</v>
      </c>
      <c r="E8" s="14">
        <v>3</v>
      </c>
      <c r="F8" s="14" t="s">
        <v>172</v>
      </c>
      <c r="G8" s="14"/>
      <c r="H8" s="14" t="s">
        <v>30</v>
      </c>
    </row>
    <row r="9" spans="1:8" ht="15" customHeight="1" x14ac:dyDescent="0.2">
      <c r="A9" s="13" t="s">
        <v>57</v>
      </c>
      <c r="B9" s="13" t="s">
        <v>50</v>
      </c>
      <c r="C9" s="13">
        <v>1</v>
      </c>
      <c r="D9" s="13">
        <v>2</v>
      </c>
      <c r="E9" s="13">
        <v>3</v>
      </c>
      <c r="F9" s="13" t="s">
        <v>173</v>
      </c>
      <c r="G9" s="13" t="s">
        <v>174</v>
      </c>
      <c r="H9" s="13"/>
    </row>
    <row r="10" spans="1:8" ht="15" customHeight="1" x14ac:dyDescent="0.2">
      <c r="A10" s="14" t="s">
        <v>60</v>
      </c>
      <c r="B10" s="14" t="s">
        <v>52</v>
      </c>
      <c r="C10" s="14">
        <v>1</v>
      </c>
      <c r="D10" s="14">
        <v>2</v>
      </c>
      <c r="E10" s="14">
        <v>3</v>
      </c>
      <c r="F10" s="14" t="s">
        <v>214</v>
      </c>
      <c r="G10" s="14"/>
      <c r="H10" s="14"/>
    </row>
    <row r="11" spans="1:8" ht="15" customHeight="1" x14ac:dyDescent="0.2">
      <c r="A11" s="13" t="s">
        <v>64</v>
      </c>
      <c r="B11" s="13" t="s">
        <v>44</v>
      </c>
      <c r="C11" s="13">
        <v>1</v>
      </c>
      <c r="D11" s="13">
        <v>2</v>
      </c>
      <c r="E11" s="13">
        <v>3</v>
      </c>
      <c r="F11" s="13" t="s">
        <v>175</v>
      </c>
      <c r="G11" s="13"/>
      <c r="H11" s="13"/>
    </row>
    <row r="12" spans="1:8" ht="15" customHeight="1" x14ac:dyDescent="0.2">
      <c r="A12" s="14" t="s">
        <v>67</v>
      </c>
      <c r="B12" s="14" t="s">
        <v>44</v>
      </c>
      <c r="C12" s="14">
        <v>3</v>
      </c>
      <c r="D12" s="14">
        <v>1</v>
      </c>
      <c r="E12" s="14">
        <v>2</v>
      </c>
      <c r="F12" s="14" t="s">
        <v>176</v>
      </c>
      <c r="G12" s="14"/>
      <c r="H12" s="14"/>
    </row>
    <row r="13" spans="1:8" ht="15" customHeight="1" x14ac:dyDescent="0.2">
      <c r="A13" s="13" t="s">
        <v>70</v>
      </c>
      <c r="B13" s="13" t="s">
        <v>50</v>
      </c>
      <c r="C13" s="13">
        <v>2</v>
      </c>
      <c r="D13" s="13">
        <v>1</v>
      </c>
      <c r="E13" s="13">
        <v>3</v>
      </c>
      <c r="F13" s="13"/>
      <c r="G13" s="13"/>
      <c r="H13" s="13"/>
    </row>
    <row r="14" spans="1:8" ht="15" customHeight="1" x14ac:dyDescent="0.2">
      <c r="A14" s="14" t="s">
        <v>71</v>
      </c>
      <c r="B14" s="14" t="s">
        <v>52</v>
      </c>
      <c r="C14" s="14">
        <v>1</v>
      </c>
      <c r="D14" s="14">
        <v>2</v>
      </c>
      <c r="E14" s="14">
        <v>3</v>
      </c>
      <c r="F14" s="14" t="s">
        <v>177</v>
      </c>
      <c r="G14" s="14"/>
      <c r="H14" s="14"/>
    </row>
    <row r="15" spans="1:8" ht="15" customHeight="1" x14ac:dyDescent="0.2">
      <c r="A15" s="13" t="s">
        <v>72</v>
      </c>
      <c r="B15" s="13" t="s">
        <v>44</v>
      </c>
      <c r="C15" s="13">
        <v>2</v>
      </c>
      <c r="D15" s="13">
        <v>1</v>
      </c>
      <c r="E15" s="13">
        <v>3</v>
      </c>
      <c r="F15" s="13" t="s">
        <v>178</v>
      </c>
      <c r="G15" s="13"/>
      <c r="H15" s="13"/>
    </row>
    <row r="16" spans="1:8" ht="15" customHeight="1" x14ac:dyDescent="0.2">
      <c r="A16" s="14" t="s">
        <v>74</v>
      </c>
      <c r="B16" s="14" t="s">
        <v>50</v>
      </c>
      <c r="C16" s="14">
        <v>2</v>
      </c>
      <c r="D16" s="14">
        <v>1</v>
      </c>
      <c r="E16" s="14">
        <v>3</v>
      </c>
      <c r="F16" s="14" t="s">
        <v>179</v>
      </c>
      <c r="G16" s="14"/>
      <c r="H16" s="14"/>
    </row>
    <row r="17" spans="1:8" ht="15" customHeight="1" x14ac:dyDescent="0.2">
      <c r="A17" s="13" t="s">
        <v>76</v>
      </c>
      <c r="B17" s="13" t="s">
        <v>52</v>
      </c>
      <c r="C17" s="13">
        <v>2</v>
      </c>
      <c r="D17" s="13">
        <v>1</v>
      </c>
      <c r="E17" s="13">
        <v>3</v>
      </c>
      <c r="F17" s="13"/>
      <c r="G17" s="13"/>
      <c r="H17" s="13"/>
    </row>
    <row r="18" spans="1:8" ht="15" customHeight="1" x14ac:dyDescent="0.2">
      <c r="A18" s="14" t="s">
        <v>77</v>
      </c>
      <c r="B18" s="14" t="s">
        <v>44</v>
      </c>
      <c r="C18" s="14">
        <v>1</v>
      </c>
      <c r="D18" s="14">
        <v>3</v>
      </c>
      <c r="E18" s="14">
        <v>2</v>
      </c>
      <c r="F18" s="14" t="s">
        <v>180</v>
      </c>
      <c r="G18" s="14"/>
      <c r="H18" s="14"/>
    </row>
    <row r="19" spans="1:8" ht="15" customHeight="1" x14ac:dyDescent="0.2">
      <c r="A19" s="13" t="s">
        <v>78</v>
      </c>
      <c r="B19" s="13" t="s">
        <v>50</v>
      </c>
      <c r="C19" s="13">
        <v>3</v>
      </c>
      <c r="D19" s="13">
        <v>1</v>
      </c>
      <c r="E19" s="13">
        <v>2</v>
      </c>
      <c r="F19" s="13" t="s">
        <v>181</v>
      </c>
      <c r="G19" s="13"/>
      <c r="H19" s="13"/>
    </row>
    <row r="20" spans="1:8" ht="15" customHeight="1" x14ac:dyDescent="0.2">
      <c r="A20" s="14" t="s">
        <v>80</v>
      </c>
      <c r="B20" s="14" t="s">
        <v>44</v>
      </c>
      <c r="C20" s="14">
        <v>1</v>
      </c>
      <c r="D20" s="14">
        <v>2</v>
      </c>
      <c r="E20" s="14">
        <v>3</v>
      </c>
      <c r="F20" s="14" t="s">
        <v>182</v>
      </c>
      <c r="G20" s="14"/>
      <c r="H20" s="14"/>
    </row>
    <row r="21" spans="1:8" ht="15" customHeight="1" x14ac:dyDescent="0.2">
      <c r="A21" s="13" t="s">
        <v>83</v>
      </c>
      <c r="B21" s="13" t="s">
        <v>50</v>
      </c>
      <c r="C21" s="13">
        <v>1</v>
      </c>
      <c r="D21" s="13">
        <v>2</v>
      </c>
      <c r="E21" s="13">
        <v>3</v>
      </c>
      <c r="F21" s="13"/>
      <c r="G21" s="13"/>
      <c r="H21" s="13"/>
    </row>
    <row r="22" spans="1:8" ht="15" customHeight="1" x14ac:dyDescent="0.2">
      <c r="A22" s="14" t="s">
        <v>84</v>
      </c>
      <c r="B22" s="14" t="s">
        <v>52</v>
      </c>
      <c r="C22" s="14">
        <v>1</v>
      </c>
      <c r="D22" s="14">
        <v>2</v>
      </c>
      <c r="E22" s="14">
        <v>3</v>
      </c>
      <c r="F22" s="14"/>
      <c r="G22" s="14"/>
      <c r="H22" s="14"/>
    </row>
    <row r="23" spans="1:8" ht="15" customHeight="1" x14ac:dyDescent="0.2">
      <c r="A23" s="13" t="s">
        <v>85</v>
      </c>
      <c r="B23" s="13" t="s">
        <v>52</v>
      </c>
      <c r="C23" s="13">
        <v>1</v>
      </c>
      <c r="D23" s="13">
        <v>2</v>
      </c>
      <c r="E23" s="13">
        <v>3</v>
      </c>
      <c r="F23" s="13"/>
      <c r="G23" s="13"/>
      <c r="H23" s="13"/>
    </row>
    <row r="24" spans="1:8" ht="15" customHeight="1" x14ac:dyDescent="0.2"/>
    <row r="26" spans="1:8" ht="15" customHeight="1" x14ac:dyDescent="0.2"/>
    <row r="27" spans="1:8" ht="15" customHeight="1" x14ac:dyDescent="0.2"/>
    <row r="28" spans="1:8" ht="15" customHeight="1" x14ac:dyDescent="0.2"/>
  </sheetData>
  <mergeCells count="2">
    <mergeCell ref="A1:H1"/>
    <mergeCell ref="A2:H2"/>
  </mergeCells>
  <dataValidations count="2">
    <dataValidation type="whole" allowBlank="1" sqref="C5:E28" xr:uid="{00000000-0002-0000-0500-000000000000}">
      <formula1>1</formula1>
      <formula2>3</formula2>
    </dataValidation>
    <dataValidation type="list" allowBlank="1" sqref="H5:H28" xr:uid="{00000000-0002-0000-05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6"/>
  <sheetViews>
    <sheetView zoomScaleNormal="100" workbookViewId="0">
      <pane ySplit="4" topLeftCell="A5" activePane="bottomLeft" state="frozen"/>
      <selection pane="bottomLeft" activeCell="L8" sqref="L8"/>
    </sheetView>
  </sheetViews>
  <sheetFormatPr baseColWidth="10" defaultColWidth="8.6640625" defaultRowHeight="15" x14ac:dyDescent="0.2"/>
  <cols>
    <col min="1" max="1" width="27.6640625" bestFit="1" customWidth="1"/>
    <col min="2" max="2" width="11" customWidth="1"/>
    <col min="3" max="3" width="10" customWidth="1"/>
    <col min="4" max="4" width="14" customWidth="1"/>
    <col min="5" max="5" width="15" customWidth="1"/>
    <col min="6" max="6" width="20" customWidth="1"/>
    <col min="7" max="7" width="16" customWidth="1"/>
    <col min="8" max="10" width="12" customWidth="1"/>
    <col min="11" max="11" width="20" customWidth="1"/>
    <col min="12" max="12" width="26" customWidth="1"/>
  </cols>
  <sheetData>
    <row r="1" spans="1:12" ht="24" customHeight="1" x14ac:dyDescent="0.2">
      <c r="A1" s="9" t="s">
        <v>183</v>
      </c>
      <c r="B1" s="9"/>
      <c r="C1" s="9"/>
      <c r="D1" s="9"/>
      <c r="E1" s="9"/>
      <c r="F1" s="9"/>
      <c r="G1" s="9"/>
      <c r="H1" s="9"/>
      <c r="I1" s="9"/>
      <c r="J1" s="9"/>
      <c r="K1" s="9"/>
      <c r="L1" s="9"/>
    </row>
    <row r="2" spans="1:12" ht="30" customHeight="1" x14ac:dyDescent="0.2">
      <c r="A2" s="8" t="s">
        <v>184</v>
      </c>
      <c r="B2" s="8"/>
      <c r="C2" s="8"/>
      <c r="D2" s="8"/>
      <c r="E2" s="8"/>
      <c r="F2" s="8"/>
      <c r="G2" s="8"/>
      <c r="H2" s="8"/>
      <c r="I2" s="8"/>
      <c r="J2" s="8"/>
      <c r="K2" s="8"/>
      <c r="L2" s="8"/>
    </row>
    <row r="4" spans="1:12" ht="31.5" customHeight="1" x14ac:dyDescent="0.2">
      <c r="A4" s="16" t="s">
        <v>33</v>
      </c>
      <c r="B4" s="16" t="s">
        <v>28</v>
      </c>
      <c r="C4" s="16" t="s">
        <v>185</v>
      </c>
      <c r="D4" s="16" t="s">
        <v>186</v>
      </c>
      <c r="E4" s="16" t="s">
        <v>34</v>
      </c>
      <c r="F4" s="16" t="s">
        <v>187</v>
      </c>
      <c r="G4" s="16" t="s">
        <v>188</v>
      </c>
      <c r="H4" s="16" t="s">
        <v>189</v>
      </c>
      <c r="I4" s="16" t="s">
        <v>190</v>
      </c>
      <c r="J4" s="16" t="s">
        <v>191</v>
      </c>
      <c r="K4" s="16" t="s">
        <v>192</v>
      </c>
      <c r="L4" s="16" t="s">
        <v>29</v>
      </c>
    </row>
    <row r="5" spans="1:12" ht="15" customHeight="1" x14ac:dyDescent="0.2">
      <c r="A5" s="17" t="s">
        <v>43</v>
      </c>
      <c r="B5" s="18">
        <v>46211</v>
      </c>
      <c r="C5" s="17"/>
      <c r="D5" s="17"/>
      <c r="E5" s="17" t="s">
        <v>44</v>
      </c>
      <c r="F5" s="17" t="s">
        <v>193</v>
      </c>
      <c r="G5" s="17"/>
      <c r="H5" s="17" t="s">
        <v>30</v>
      </c>
      <c r="I5" s="17"/>
      <c r="J5" s="17" t="s">
        <v>194</v>
      </c>
      <c r="K5" s="17"/>
      <c r="L5" s="17"/>
    </row>
    <row r="6" spans="1:12" ht="15" customHeight="1" x14ac:dyDescent="0.2">
      <c r="A6" s="17" t="s">
        <v>49</v>
      </c>
      <c r="B6" s="18">
        <v>46211</v>
      </c>
      <c r="C6" s="17"/>
      <c r="D6" s="17"/>
      <c r="E6" s="17" t="s">
        <v>50</v>
      </c>
      <c r="F6" s="17" t="s">
        <v>193</v>
      </c>
      <c r="G6" s="17"/>
      <c r="H6" s="17" t="s">
        <v>30</v>
      </c>
      <c r="I6" s="17"/>
      <c r="J6" s="17" t="s">
        <v>194</v>
      </c>
      <c r="K6" s="17"/>
      <c r="L6" s="17"/>
    </row>
    <row r="7" spans="1:12" ht="15" customHeight="1" x14ac:dyDescent="0.2">
      <c r="A7" s="17" t="s">
        <v>51</v>
      </c>
      <c r="B7" s="18">
        <v>46211</v>
      </c>
      <c r="C7" s="17"/>
      <c r="D7" s="17"/>
      <c r="E7" s="17" t="s">
        <v>52</v>
      </c>
      <c r="F7" s="17" t="s">
        <v>193</v>
      </c>
      <c r="G7" s="17"/>
      <c r="H7" s="17" t="s">
        <v>30</v>
      </c>
      <c r="I7" s="17"/>
      <c r="J7" s="17" t="s">
        <v>194</v>
      </c>
      <c r="K7" s="17"/>
      <c r="L7" s="17"/>
    </row>
    <row r="8" spans="1:12" ht="15" customHeight="1" x14ac:dyDescent="0.2">
      <c r="A8" s="14" t="s">
        <v>53</v>
      </c>
      <c r="B8" s="19">
        <v>46216</v>
      </c>
      <c r="C8" s="14"/>
      <c r="D8" s="14"/>
      <c r="E8" s="14" t="s">
        <v>44</v>
      </c>
      <c r="F8" s="14" t="s">
        <v>193</v>
      </c>
      <c r="G8" s="14" t="s">
        <v>215</v>
      </c>
      <c r="H8" s="14" t="s">
        <v>30</v>
      </c>
      <c r="I8" s="14" t="s">
        <v>30</v>
      </c>
      <c r="J8" s="14" t="s">
        <v>30</v>
      </c>
      <c r="K8" s="14"/>
      <c r="L8" s="14"/>
    </row>
    <row r="9" spans="1:12" ht="15" customHeight="1" x14ac:dyDescent="0.2">
      <c r="A9" s="13" t="s">
        <v>57</v>
      </c>
      <c r="B9" s="20">
        <v>46216</v>
      </c>
      <c r="C9" s="13"/>
      <c r="D9" s="13"/>
      <c r="E9" s="13" t="s">
        <v>50</v>
      </c>
      <c r="F9" s="13" t="s">
        <v>193</v>
      </c>
      <c r="G9" s="13" t="s">
        <v>215</v>
      </c>
      <c r="H9" s="13" t="s">
        <v>30</v>
      </c>
      <c r="I9" s="13" t="s">
        <v>30</v>
      </c>
      <c r="J9" s="13" t="s">
        <v>30</v>
      </c>
      <c r="K9" s="13"/>
      <c r="L9" s="13"/>
    </row>
    <row r="10" spans="1:12" ht="15" customHeight="1" x14ac:dyDescent="0.2">
      <c r="A10" s="14" t="s">
        <v>60</v>
      </c>
      <c r="B10" s="19">
        <v>46216</v>
      </c>
      <c r="C10" s="14"/>
      <c r="D10" s="14"/>
      <c r="E10" s="14" t="s">
        <v>52</v>
      </c>
      <c r="F10" s="14" t="s">
        <v>193</v>
      </c>
      <c r="G10" s="14" t="s">
        <v>216</v>
      </c>
      <c r="H10" s="14" t="s">
        <v>30</v>
      </c>
      <c r="I10" s="14" t="s">
        <v>30</v>
      </c>
      <c r="J10" s="14" t="s">
        <v>30</v>
      </c>
      <c r="K10" s="14"/>
      <c r="L10" s="14"/>
    </row>
    <row r="11" spans="1:12" ht="15" customHeight="1" x14ac:dyDescent="0.2">
      <c r="A11" s="13" t="s">
        <v>64</v>
      </c>
      <c r="B11" s="20">
        <v>46216</v>
      </c>
      <c r="C11" s="13"/>
      <c r="D11" s="13"/>
      <c r="E11" s="13" t="s">
        <v>44</v>
      </c>
      <c r="F11" s="13" t="s">
        <v>193</v>
      </c>
      <c r="G11" s="13" t="s">
        <v>215</v>
      </c>
      <c r="H11" s="13" t="s">
        <v>30</v>
      </c>
      <c r="I11" s="13" t="s">
        <v>30</v>
      </c>
      <c r="J11" s="13" t="s">
        <v>30</v>
      </c>
      <c r="K11" s="13"/>
      <c r="L11" s="13"/>
    </row>
    <row r="12" spans="1:12" ht="15" customHeight="1" x14ac:dyDescent="0.2">
      <c r="A12" s="14" t="s">
        <v>67</v>
      </c>
      <c r="B12" s="19">
        <v>46217</v>
      </c>
      <c r="C12" s="14"/>
      <c r="D12" s="14"/>
      <c r="E12" s="14" t="s">
        <v>44</v>
      </c>
      <c r="F12" s="14" t="s">
        <v>195</v>
      </c>
      <c r="G12" s="14" t="s">
        <v>215</v>
      </c>
      <c r="H12" s="14" t="s">
        <v>30</v>
      </c>
      <c r="I12" s="14" t="s">
        <v>30</v>
      </c>
      <c r="J12" s="14" t="s">
        <v>30</v>
      </c>
      <c r="K12" s="14"/>
      <c r="L12" s="14"/>
    </row>
    <row r="13" spans="1:12" ht="15" customHeight="1" x14ac:dyDescent="0.2">
      <c r="A13" s="13" t="s">
        <v>70</v>
      </c>
      <c r="B13" s="20">
        <v>46217</v>
      </c>
      <c r="C13" s="13"/>
      <c r="D13" s="13"/>
      <c r="E13" s="13" t="s">
        <v>50</v>
      </c>
      <c r="F13" s="13" t="s">
        <v>195</v>
      </c>
      <c r="G13" s="13" t="s">
        <v>215</v>
      </c>
      <c r="H13" s="13" t="s">
        <v>30</v>
      </c>
      <c r="I13" s="13" t="s">
        <v>30</v>
      </c>
      <c r="J13" s="13" t="s">
        <v>30</v>
      </c>
      <c r="K13" s="13"/>
      <c r="L13" s="13"/>
    </row>
    <row r="14" spans="1:12" ht="15" customHeight="1" x14ac:dyDescent="0.2">
      <c r="A14" s="14" t="s">
        <v>71</v>
      </c>
      <c r="B14" s="19">
        <v>46217</v>
      </c>
      <c r="C14" s="14"/>
      <c r="D14" s="14"/>
      <c r="E14" s="14" t="s">
        <v>52</v>
      </c>
      <c r="F14" s="14" t="s">
        <v>195</v>
      </c>
      <c r="G14" s="14" t="s">
        <v>215</v>
      </c>
      <c r="H14" s="14" t="s">
        <v>30</v>
      </c>
      <c r="I14" s="14" t="s">
        <v>30</v>
      </c>
      <c r="J14" s="14" t="s">
        <v>30</v>
      </c>
      <c r="K14" s="14"/>
      <c r="L14" s="14"/>
    </row>
    <row r="15" spans="1:12" ht="15" customHeight="1" x14ac:dyDescent="0.2">
      <c r="A15" s="13" t="s">
        <v>72</v>
      </c>
      <c r="B15" s="20">
        <v>46217</v>
      </c>
      <c r="C15" s="13"/>
      <c r="D15" s="13"/>
      <c r="E15" s="13" t="s">
        <v>44</v>
      </c>
      <c r="F15" s="13" t="s">
        <v>196</v>
      </c>
      <c r="G15" s="13" t="s">
        <v>215</v>
      </c>
      <c r="H15" s="13" t="s">
        <v>30</v>
      </c>
      <c r="I15" s="13" t="s">
        <v>30</v>
      </c>
      <c r="J15" s="13" t="s">
        <v>30</v>
      </c>
      <c r="K15" s="13"/>
      <c r="L15" s="13"/>
    </row>
    <row r="16" spans="1:12" ht="15" customHeight="1" x14ac:dyDescent="0.2">
      <c r="A16" s="14" t="s">
        <v>74</v>
      </c>
      <c r="B16" s="19">
        <v>46217</v>
      </c>
      <c r="C16" s="14"/>
      <c r="D16" s="14"/>
      <c r="E16" s="14" t="s">
        <v>50</v>
      </c>
      <c r="F16" s="14" t="s">
        <v>196</v>
      </c>
      <c r="G16" s="14" t="s">
        <v>215</v>
      </c>
      <c r="H16" s="14" t="s">
        <v>30</v>
      </c>
      <c r="I16" s="14" t="s">
        <v>30</v>
      </c>
      <c r="J16" s="14" t="s">
        <v>30</v>
      </c>
      <c r="K16" s="14"/>
      <c r="L16" s="14"/>
    </row>
    <row r="17" spans="1:12" ht="15" customHeight="1" x14ac:dyDescent="0.2">
      <c r="A17" s="13" t="s">
        <v>76</v>
      </c>
      <c r="B17" s="20">
        <v>46217</v>
      </c>
      <c r="C17" s="13"/>
      <c r="D17" s="13"/>
      <c r="E17" s="13" t="s">
        <v>52</v>
      </c>
      <c r="F17" s="13" t="s">
        <v>196</v>
      </c>
      <c r="G17" s="13" t="s">
        <v>215</v>
      </c>
      <c r="H17" s="13" t="s">
        <v>30</v>
      </c>
      <c r="I17" s="13" t="s">
        <v>30</v>
      </c>
      <c r="J17" s="13" t="s">
        <v>30</v>
      </c>
      <c r="K17" s="13"/>
      <c r="L17" s="13"/>
    </row>
    <row r="18" spans="1:12" ht="15" customHeight="1" x14ac:dyDescent="0.2">
      <c r="A18" s="14" t="s">
        <v>77</v>
      </c>
      <c r="B18" s="19">
        <v>46217</v>
      </c>
      <c r="C18" s="14"/>
      <c r="D18" s="14"/>
      <c r="E18" s="14" t="s">
        <v>44</v>
      </c>
      <c r="F18" s="14" t="s">
        <v>196</v>
      </c>
      <c r="G18" s="14" t="s">
        <v>215</v>
      </c>
      <c r="H18" s="14" t="s">
        <v>30</v>
      </c>
      <c r="I18" s="14" t="s">
        <v>30</v>
      </c>
      <c r="J18" s="14" t="s">
        <v>30</v>
      </c>
      <c r="K18" s="14"/>
      <c r="L18" s="14"/>
    </row>
    <row r="19" spans="1:12" ht="15" customHeight="1" x14ac:dyDescent="0.2">
      <c r="A19" s="13" t="s">
        <v>78</v>
      </c>
      <c r="B19" s="20">
        <v>46219</v>
      </c>
      <c r="C19" s="13"/>
      <c r="D19" s="13"/>
      <c r="E19" s="13" t="s">
        <v>50</v>
      </c>
      <c r="F19" s="13" t="s">
        <v>195</v>
      </c>
      <c r="G19" s="13" t="s">
        <v>216</v>
      </c>
      <c r="H19" s="13" t="s">
        <v>30</v>
      </c>
      <c r="I19" s="13" t="s">
        <v>30</v>
      </c>
      <c r="J19" s="13" t="s">
        <v>30</v>
      </c>
      <c r="K19" s="13"/>
      <c r="L19" s="13"/>
    </row>
    <row r="20" spans="1:12" ht="15" customHeight="1" x14ac:dyDescent="0.2">
      <c r="A20" s="14" t="s">
        <v>80</v>
      </c>
      <c r="B20" s="19">
        <v>46219</v>
      </c>
      <c r="C20" s="14"/>
      <c r="D20" s="14"/>
      <c r="E20" s="14" t="s">
        <v>44</v>
      </c>
      <c r="F20" s="14" t="s">
        <v>196</v>
      </c>
      <c r="G20" s="14" t="s">
        <v>215</v>
      </c>
      <c r="H20" s="14" t="s">
        <v>30</v>
      </c>
      <c r="I20" s="14" t="s">
        <v>30</v>
      </c>
      <c r="J20" s="14" t="s">
        <v>30</v>
      </c>
      <c r="K20" s="14"/>
      <c r="L20" s="14"/>
    </row>
    <row r="21" spans="1:12" ht="15" customHeight="1" x14ac:dyDescent="0.2">
      <c r="A21" s="13" t="s">
        <v>83</v>
      </c>
      <c r="B21" s="20">
        <v>46219</v>
      </c>
      <c r="C21" s="13"/>
      <c r="D21" s="13"/>
      <c r="E21" s="13" t="s">
        <v>50</v>
      </c>
      <c r="F21" s="13" t="s">
        <v>196</v>
      </c>
      <c r="G21" s="13" t="s">
        <v>215</v>
      </c>
      <c r="H21" s="13" t="s">
        <v>30</v>
      </c>
      <c r="I21" s="13" t="s">
        <v>30</v>
      </c>
      <c r="J21" s="13" t="s">
        <v>30</v>
      </c>
      <c r="K21" s="13"/>
      <c r="L21" s="13"/>
    </row>
    <row r="22" spans="1:12" ht="15" customHeight="1" x14ac:dyDescent="0.2">
      <c r="A22" s="14" t="s">
        <v>84</v>
      </c>
      <c r="B22" s="19">
        <v>46219</v>
      </c>
      <c r="C22" s="14"/>
      <c r="D22" s="14"/>
      <c r="E22" s="14" t="s">
        <v>52</v>
      </c>
      <c r="F22" s="14" t="s">
        <v>196</v>
      </c>
      <c r="G22" s="14" t="s">
        <v>215</v>
      </c>
      <c r="H22" s="14" t="s">
        <v>30</v>
      </c>
      <c r="I22" s="14" t="s">
        <v>30</v>
      </c>
      <c r="J22" s="14" t="s">
        <v>30</v>
      </c>
      <c r="K22" s="14"/>
      <c r="L22" s="14"/>
    </row>
    <row r="23" spans="1:12" ht="15" customHeight="1" x14ac:dyDescent="0.2">
      <c r="A23" s="13" t="s">
        <v>85</v>
      </c>
      <c r="B23" s="20">
        <v>46219</v>
      </c>
      <c r="C23" s="13"/>
      <c r="D23" s="13"/>
      <c r="E23" s="13" t="s">
        <v>52</v>
      </c>
      <c r="F23" s="13" t="s">
        <v>195</v>
      </c>
      <c r="G23" s="13" t="s">
        <v>216</v>
      </c>
      <c r="H23" s="13" t="s">
        <v>30</v>
      </c>
      <c r="I23" s="13" t="s">
        <v>30</v>
      </c>
      <c r="J23" s="13" t="s">
        <v>30</v>
      </c>
      <c r="K23" s="13"/>
      <c r="L23" s="13"/>
    </row>
    <row r="24" spans="1:12" ht="15" customHeight="1" x14ac:dyDescent="0.2"/>
    <row r="25" spans="1:12" ht="15" customHeight="1" x14ac:dyDescent="0.2">
      <c r="A25" s="7" t="s">
        <v>197</v>
      </c>
      <c r="B25" s="7"/>
      <c r="C25" s="7"/>
      <c r="D25" s="7"/>
    </row>
    <row r="26" spans="1:12" ht="15" customHeight="1" x14ac:dyDescent="0.2">
      <c r="A26" s="24" t="s">
        <v>198</v>
      </c>
      <c r="B26">
        <f>COUNTIF(J5:J23,"Yes")</f>
        <v>16</v>
      </c>
    </row>
    <row r="27" spans="1:12" ht="15" customHeight="1" x14ac:dyDescent="0.2">
      <c r="A27" s="24" t="s">
        <v>199</v>
      </c>
      <c r="B27">
        <f>COUNTIFS(E5:E23,"Navigation",J5:J23,"Yes")</f>
        <v>6</v>
      </c>
    </row>
    <row r="28" spans="1:12" ht="15" customHeight="1" x14ac:dyDescent="0.2">
      <c r="A28" s="24" t="s">
        <v>200</v>
      </c>
      <c r="B28">
        <f>COUNTIFS(E5:E23,"Identification",J5:J23,"Yes")</f>
        <v>5</v>
      </c>
    </row>
    <row r="29" spans="1:12" ht="15" customHeight="1" x14ac:dyDescent="0.2">
      <c r="A29" s="24" t="s">
        <v>201</v>
      </c>
      <c r="B29">
        <f>COUNTIFS(E5:E23,"Visual Search",J5:J23,"Yes")</f>
        <v>5</v>
      </c>
    </row>
    <row r="31" spans="1:12" ht="15" customHeight="1" x14ac:dyDescent="0.2">
      <c r="A31" s="1"/>
      <c r="B31" s="1"/>
      <c r="C31" s="1"/>
      <c r="D31" s="1"/>
    </row>
    <row r="32" spans="1:12" ht="15" customHeight="1" x14ac:dyDescent="0.2"/>
    <row r="33" ht="15" customHeight="1" x14ac:dyDescent="0.2"/>
    <row r="34" ht="15" customHeight="1" x14ac:dyDescent="0.2"/>
    <row r="35" ht="15" customHeight="1" x14ac:dyDescent="0.2"/>
    <row r="36" ht="15" customHeight="1" x14ac:dyDescent="0.2"/>
  </sheetData>
  <mergeCells count="4">
    <mergeCell ref="A1:L1"/>
    <mergeCell ref="A2:L2"/>
    <mergeCell ref="A25:D25"/>
    <mergeCell ref="A31:D31"/>
  </mergeCells>
  <dataValidations count="5">
    <dataValidation type="list" allowBlank="1" sqref="E5:E28" xr:uid="{00000000-0002-0000-0600-000000000000}">
      <formula1>"Navigation,Identification,Visual Search"</formula1>
      <formula2>0</formula2>
    </dataValidation>
    <dataValidation type="list" allowBlank="1" sqref="G5:G28" xr:uid="{00000000-0002-0000-0600-000001000000}">
      <formula1>"Assigned,Chosen"</formula1>
      <formula2>0</formula2>
    </dataValidation>
    <dataValidation type="list" allowBlank="1" sqref="H5:I28" xr:uid="{00000000-0002-0000-0600-000002000000}">
      <formula1>"Yes,No"</formula1>
      <formula2>0</formula2>
    </dataValidation>
    <dataValidation type="list" allowBlank="1" sqref="J24:J28" xr:uid="{00000000-0002-0000-0600-000003000000}">
      <formula1>"No,Yes,Excluded"</formula1>
      <formula2>0</formula2>
    </dataValidation>
    <dataValidation type="list" allowBlank="1" sqref="J5:J23" xr:uid="{00000000-0002-0000-0600-000004000000}">
      <formula1>"No,Yes,N/A (pilot)"</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8"/>
  <sheetViews>
    <sheetView zoomScaleNormal="100" workbookViewId="0">
      <pane ySplit="4" topLeftCell="A5" activePane="bottomLeft" state="frozen"/>
      <selection pane="bottomLeft" sqref="A1:E1"/>
    </sheetView>
  </sheetViews>
  <sheetFormatPr baseColWidth="10" defaultColWidth="8.6640625" defaultRowHeight="15" x14ac:dyDescent="0.2"/>
  <cols>
    <col min="1" max="1" width="16" customWidth="1"/>
    <col min="2" max="2" width="20" customWidth="1"/>
    <col min="3" max="3" width="18" customWidth="1"/>
    <col min="4" max="4" width="34" customWidth="1"/>
    <col min="5" max="5" width="30" customWidth="1"/>
  </cols>
  <sheetData>
    <row r="1" spans="1:5" ht="24" customHeight="1" x14ac:dyDescent="0.2">
      <c r="A1" s="6" t="s">
        <v>202</v>
      </c>
      <c r="B1" s="6"/>
      <c r="C1" s="6"/>
      <c r="D1" s="6"/>
      <c r="E1" s="6"/>
    </row>
    <row r="2" spans="1:5" ht="25.5" customHeight="1" x14ac:dyDescent="0.2">
      <c r="A2" s="5" t="s">
        <v>203</v>
      </c>
      <c r="B2" s="5"/>
      <c r="C2" s="5"/>
      <c r="D2" s="5"/>
      <c r="E2" s="5"/>
    </row>
    <row r="4" spans="1:5" ht="31.5" customHeight="1" x14ac:dyDescent="0.2">
      <c r="A4" s="12" t="s">
        <v>204</v>
      </c>
      <c r="B4" s="12" t="s">
        <v>205</v>
      </c>
      <c r="C4" s="12" t="s">
        <v>206</v>
      </c>
      <c r="D4" s="12" t="s">
        <v>207</v>
      </c>
      <c r="E4" s="12" t="s">
        <v>29</v>
      </c>
    </row>
    <row r="5" spans="1:5" ht="15.75" customHeight="1" x14ac:dyDescent="0.2">
      <c r="A5" s="25">
        <v>1</v>
      </c>
      <c r="B5" s="25" t="s">
        <v>44</v>
      </c>
      <c r="C5" s="25" t="s">
        <v>208</v>
      </c>
      <c r="D5" s="26" t="s">
        <v>209</v>
      </c>
      <c r="E5" s="26"/>
    </row>
    <row r="6" spans="1:5" ht="15.75" customHeight="1" x14ac:dyDescent="0.2">
      <c r="A6" s="27">
        <v>2</v>
      </c>
      <c r="B6" s="27" t="s">
        <v>50</v>
      </c>
      <c r="C6" s="27" t="s">
        <v>210</v>
      </c>
      <c r="D6" s="28" t="s">
        <v>211</v>
      </c>
      <c r="E6" s="28"/>
    </row>
    <row r="7" spans="1:5" ht="15.75" customHeight="1" x14ac:dyDescent="0.2">
      <c r="A7" s="25">
        <v>3</v>
      </c>
      <c r="B7" s="25" t="s">
        <v>52</v>
      </c>
      <c r="C7" s="25" t="s">
        <v>212</v>
      </c>
      <c r="D7" s="26" t="s">
        <v>213</v>
      </c>
      <c r="E7" s="26"/>
    </row>
    <row r="8" spans="1:5" ht="15.75" customHeight="1" x14ac:dyDescent="0.2">
      <c r="A8" s="27">
        <v>4</v>
      </c>
      <c r="B8" s="27" t="s">
        <v>44</v>
      </c>
      <c r="C8" s="27" t="s">
        <v>208</v>
      </c>
      <c r="D8" s="28" t="s">
        <v>209</v>
      </c>
      <c r="E8" s="28"/>
    </row>
    <row r="9" spans="1:5" ht="15.75" customHeight="1" x14ac:dyDescent="0.2">
      <c r="A9" s="25">
        <v>5</v>
      </c>
      <c r="B9" s="25" t="s">
        <v>50</v>
      </c>
      <c r="C9" s="25" t="s">
        <v>210</v>
      </c>
      <c r="D9" s="26" t="s">
        <v>211</v>
      </c>
      <c r="E9" s="26"/>
    </row>
    <row r="10" spans="1:5" ht="15.75" customHeight="1" x14ac:dyDescent="0.2">
      <c r="A10" s="27">
        <v>6</v>
      </c>
      <c r="B10" s="27" t="s">
        <v>52</v>
      </c>
      <c r="C10" s="27" t="s">
        <v>212</v>
      </c>
      <c r="D10" s="28" t="s">
        <v>213</v>
      </c>
      <c r="E10" s="28"/>
    </row>
    <row r="11" spans="1:5" ht="15.75" customHeight="1" x14ac:dyDescent="0.2">
      <c r="A11" s="25">
        <v>7</v>
      </c>
      <c r="B11" s="25" t="s">
        <v>44</v>
      </c>
      <c r="C11" s="25" t="s">
        <v>208</v>
      </c>
      <c r="D11" s="26" t="s">
        <v>209</v>
      </c>
      <c r="E11" s="26"/>
    </row>
    <row r="12" spans="1:5" ht="15.75" customHeight="1" x14ac:dyDescent="0.2">
      <c r="A12" s="27">
        <v>8</v>
      </c>
      <c r="B12" s="27" t="s">
        <v>50</v>
      </c>
      <c r="C12" s="27" t="s">
        <v>210</v>
      </c>
      <c r="D12" s="28" t="s">
        <v>211</v>
      </c>
      <c r="E12" s="28"/>
    </row>
    <row r="13" spans="1:5" ht="15.75" customHeight="1" x14ac:dyDescent="0.2">
      <c r="A13" s="25">
        <v>9</v>
      </c>
      <c r="B13" s="25" t="s">
        <v>52</v>
      </c>
      <c r="C13" s="25" t="s">
        <v>212</v>
      </c>
      <c r="D13" s="26" t="s">
        <v>213</v>
      </c>
      <c r="E13" s="26"/>
    </row>
    <row r="14" spans="1:5" ht="15.75" customHeight="1" x14ac:dyDescent="0.2">
      <c r="A14" s="27">
        <v>10</v>
      </c>
      <c r="B14" s="27" t="s">
        <v>44</v>
      </c>
      <c r="C14" s="27" t="s">
        <v>208</v>
      </c>
      <c r="D14" s="28" t="s">
        <v>209</v>
      </c>
      <c r="E14" s="28"/>
    </row>
    <row r="15" spans="1:5" ht="15.75" customHeight="1" x14ac:dyDescent="0.2">
      <c r="A15" s="25">
        <v>11</v>
      </c>
      <c r="B15" s="25" t="s">
        <v>50</v>
      </c>
      <c r="C15" s="25" t="s">
        <v>210</v>
      </c>
      <c r="D15" s="26" t="s">
        <v>211</v>
      </c>
      <c r="E15" s="26"/>
    </row>
    <row r="16" spans="1:5" ht="15.75" customHeight="1" x14ac:dyDescent="0.2">
      <c r="A16" s="27">
        <v>12</v>
      </c>
      <c r="B16" s="27" t="s">
        <v>52</v>
      </c>
      <c r="C16" s="27" t="s">
        <v>212</v>
      </c>
      <c r="D16" s="28" t="s">
        <v>213</v>
      </c>
      <c r="E16" s="28"/>
    </row>
    <row r="17" spans="1:5" ht="15.75" customHeight="1" x14ac:dyDescent="0.2">
      <c r="A17" s="25">
        <v>13</v>
      </c>
      <c r="B17" s="25" t="s">
        <v>44</v>
      </c>
      <c r="C17" s="25" t="s">
        <v>208</v>
      </c>
      <c r="D17" s="26" t="s">
        <v>209</v>
      </c>
      <c r="E17" s="26"/>
    </row>
    <row r="18" spans="1:5" ht="15.75" customHeight="1" x14ac:dyDescent="0.2">
      <c r="A18" s="27">
        <v>14</v>
      </c>
      <c r="B18" s="27" t="s">
        <v>50</v>
      </c>
      <c r="C18" s="27" t="s">
        <v>210</v>
      </c>
      <c r="D18" s="28" t="s">
        <v>211</v>
      </c>
      <c r="E18" s="28"/>
    </row>
    <row r="19" spans="1:5" ht="15.75" customHeight="1" x14ac:dyDescent="0.2">
      <c r="A19" s="25">
        <v>15</v>
      </c>
      <c r="B19" s="25" t="s">
        <v>52</v>
      </c>
      <c r="C19" s="25" t="s">
        <v>212</v>
      </c>
      <c r="D19" s="26" t="s">
        <v>213</v>
      </c>
      <c r="E19" s="26"/>
    </row>
    <row r="20" spans="1:5" ht="15.75" customHeight="1" x14ac:dyDescent="0.2">
      <c r="A20" s="27">
        <v>16</v>
      </c>
      <c r="B20" s="27" t="s">
        <v>44</v>
      </c>
      <c r="C20" s="27" t="s">
        <v>208</v>
      </c>
      <c r="D20" s="28" t="s">
        <v>209</v>
      </c>
      <c r="E20" s="28"/>
    </row>
    <row r="21" spans="1:5" ht="15.75" customHeight="1" x14ac:dyDescent="0.2">
      <c r="A21" s="25">
        <v>17</v>
      </c>
      <c r="B21" s="25" t="s">
        <v>50</v>
      </c>
      <c r="C21" s="25" t="s">
        <v>210</v>
      </c>
      <c r="D21" s="26" t="s">
        <v>211</v>
      </c>
      <c r="E21" s="26"/>
    </row>
    <row r="22" spans="1:5" ht="15.75" customHeight="1" x14ac:dyDescent="0.2">
      <c r="A22" s="27">
        <v>18</v>
      </c>
      <c r="B22" s="27" t="s">
        <v>52</v>
      </c>
      <c r="C22" s="27" t="s">
        <v>212</v>
      </c>
      <c r="D22" s="28" t="s">
        <v>213</v>
      </c>
      <c r="E22" s="28"/>
    </row>
    <row r="23" spans="1:5" ht="15.75" customHeight="1" x14ac:dyDescent="0.2">
      <c r="A23" s="25">
        <v>19</v>
      </c>
      <c r="B23" s="25" t="s">
        <v>44</v>
      </c>
      <c r="C23" s="25" t="s">
        <v>208</v>
      </c>
      <c r="D23" s="26" t="s">
        <v>209</v>
      </c>
      <c r="E23" s="26"/>
    </row>
    <row r="24" spans="1:5" ht="15.75" customHeight="1" x14ac:dyDescent="0.2">
      <c r="A24" s="27">
        <v>20</v>
      </c>
      <c r="B24" s="27" t="s">
        <v>50</v>
      </c>
      <c r="C24" s="27" t="s">
        <v>210</v>
      </c>
      <c r="D24" s="28" t="s">
        <v>211</v>
      </c>
      <c r="E24" s="28"/>
    </row>
    <row r="25" spans="1:5" ht="15.75" customHeight="1" x14ac:dyDescent="0.2">
      <c r="A25" s="25">
        <v>21</v>
      </c>
      <c r="B25" s="25" t="s">
        <v>52</v>
      </c>
      <c r="C25" s="25" t="s">
        <v>212</v>
      </c>
      <c r="D25" s="26" t="s">
        <v>213</v>
      </c>
      <c r="E25" s="26"/>
    </row>
    <row r="26" spans="1:5" ht="15.75" customHeight="1" x14ac:dyDescent="0.2">
      <c r="A26" s="27">
        <v>22</v>
      </c>
      <c r="B26" s="27" t="s">
        <v>44</v>
      </c>
      <c r="C26" s="27" t="s">
        <v>208</v>
      </c>
      <c r="D26" s="28" t="s">
        <v>209</v>
      </c>
      <c r="E26" s="28"/>
    </row>
    <row r="27" spans="1:5" ht="15.75" customHeight="1" x14ac:dyDescent="0.2">
      <c r="A27" s="25">
        <v>23</v>
      </c>
      <c r="B27" s="25" t="s">
        <v>50</v>
      </c>
      <c r="C27" s="25" t="s">
        <v>210</v>
      </c>
      <c r="D27" s="26" t="s">
        <v>211</v>
      </c>
      <c r="E27" s="26"/>
    </row>
    <row r="28" spans="1:5" ht="15.75" customHeight="1" x14ac:dyDescent="0.2">
      <c r="A28" s="27">
        <v>24</v>
      </c>
      <c r="B28" s="27" t="s">
        <v>52</v>
      </c>
      <c r="C28" s="27" t="s">
        <v>212</v>
      </c>
      <c r="D28" s="28" t="s">
        <v>213</v>
      </c>
      <c r="E28" s="28"/>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0_Instructions</vt:lpstr>
      <vt:lpstr>2_PreScreening</vt:lpstr>
      <vt:lpstr>3_BriefingScript</vt:lpstr>
      <vt:lpstr>4_PostConditionSurvey</vt:lpstr>
      <vt:lpstr>5_PostSessionSurvey</vt:lpstr>
      <vt:lpstr>6_SubjectTracking</vt:lpstr>
      <vt:lpstr>7_Counterbalancing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Setiawan Jonathan</cp:lastModifiedBy>
  <cp:revision>0</cp:revision>
  <dcterms:created xsi:type="dcterms:W3CDTF">2026-07-06T12:45:41Z</dcterms:created>
  <dcterms:modified xsi:type="dcterms:W3CDTF">2026-07-16T15:52:36Z</dcterms:modified>
  <dc:language>en-US</dc:language>
</cp:coreProperties>
</file>